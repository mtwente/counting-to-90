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wente/Desktop/"/>
    </mc:Choice>
  </mc:AlternateContent>
  <xr:revisionPtr revIDLastSave="0" documentId="13_ncr:1_{CACD4A32-6C1A-8449-936C-EBA061916CD9}" xr6:coauthVersionLast="47" xr6:coauthVersionMax="47" xr10:uidLastSave="{00000000-0000-0000-0000-000000000000}"/>
  <bookViews>
    <workbookView xWindow="0" yWindow="760" windowWidth="30240" windowHeight="18720" xr2:uid="{15492900-2D56-3741-ABFE-A10E030CF58E}"/>
  </bookViews>
  <sheets>
    <sheet name="mandatsforde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13" i="1"/>
  <c r="F65" i="1"/>
  <c r="F40" i="1"/>
  <c r="F37" i="1"/>
  <c r="F34" i="1"/>
  <c r="F31" i="1"/>
  <c r="F28" i="1"/>
  <c r="F21" i="1"/>
  <c r="F8" i="1"/>
  <c r="F3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65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0" i="1"/>
  <c r="D38" i="1"/>
  <c r="D39" i="1"/>
  <c r="D37" i="1"/>
  <c r="D35" i="1"/>
  <c r="D36" i="1"/>
  <c r="D34" i="1"/>
  <c r="D32" i="1"/>
  <c r="D33" i="1"/>
  <c r="D31" i="1"/>
  <c r="D29" i="1"/>
  <c r="D30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2" i="1"/>
  <c r="D11" i="1"/>
  <c r="D10" i="1"/>
  <c r="D9" i="1"/>
  <c r="D8" i="1"/>
  <c r="D7" i="1"/>
  <c r="D6" i="1"/>
  <c r="D5" i="1"/>
  <c r="D4" i="1"/>
  <c r="D3" i="1"/>
  <c r="D2" i="1"/>
  <c r="F6" i="1"/>
  <c r="F5" i="1"/>
  <c r="F4" i="1"/>
  <c r="F2" i="1"/>
  <c r="F11" i="1"/>
  <c r="F10" i="1"/>
  <c r="F9" i="1"/>
  <c r="F7" i="1"/>
  <c r="F26" i="1"/>
  <c r="F24" i="1"/>
  <c r="F25" i="1"/>
  <c r="F23" i="1"/>
  <c r="F22" i="1"/>
  <c r="F20" i="1"/>
  <c r="F19" i="1"/>
  <c r="F18" i="1"/>
  <c r="F17" i="1"/>
  <c r="F16" i="1"/>
  <c r="F15" i="1"/>
  <c r="F14" i="1"/>
  <c r="F12" i="1"/>
  <c r="F32" i="1"/>
  <c r="F30" i="1"/>
  <c r="F29" i="1"/>
  <c r="F27" i="1"/>
  <c r="F38" i="1"/>
  <c r="F36" i="1"/>
  <c r="F35" i="1"/>
  <c r="F33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44" i="1"/>
  <c r="F41" i="1"/>
  <c r="F42" i="1"/>
  <c r="F43" i="1"/>
  <c r="F39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4" i="1"/>
  <c r="F84" i="1"/>
  <c r="F83" i="1"/>
  <c r="F63" i="1"/>
  <c r="F85" i="1"/>
</calcChain>
</file>

<file path=xl/sharedStrings.xml><?xml version="1.0" encoding="utf-8"?>
<sst xmlns="http://schemas.openxmlformats.org/spreadsheetml/2006/main" count="372" uniqueCount="140">
  <si>
    <t>TRUE</t>
  </si>
  <si>
    <t>FALSE</t>
  </si>
  <si>
    <t>2001-11-20</t>
  </si>
  <si>
    <t>2002-05-14</t>
  </si>
  <si>
    <t>2002-10-29</t>
  </si>
  <si>
    <t>2004-10-19</t>
  </si>
  <si>
    <t>2005-02-08</t>
  </si>
  <si>
    <t>2007-05-07</t>
  </si>
  <si>
    <t>2007-05-08</t>
  </si>
  <si>
    <t>2007-09-28</t>
  </si>
  <si>
    <t>2007-11-13</t>
  </si>
  <si>
    <t>2007-12-05</t>
  </si>
  <si>
    <t>2008-01-29</t>
  </si>
  <si>
    <t>2008-02-13</t>
  </si>
  <si>
    <t>2008-06-24</t>
  </si>
  <si>
    <t>2008-08-12</t>
  </si>
  <si>
    <t>2009-01-05</t>
  </si>
  <si>
    <t>2009-02-05</t>
  </si>
  <si>
    <t>2009-06-16</t>
  </si>
  <si>
    <t>2010-01-19</t>
  </si>
  <si>
    <t>2010-03-10</t>
  </si>
  <si>
    <t>2010-05-19</t>
  </si>
  <si>
    <t>2011-08-31</t>
  </si>
  <si>
    <t>2011-09-15</t>
  </si>
  <si>
    <t>2013-11-27</t>
  </si>
  <si>
    <t>2014-01-30</t>
  </si>
  <si>
    <t>2014-02-04</t>
  </si>
  <si>
    <t>2015-06-18</t>
  </si>
  <si>
    <t>2016-04-24</t>
  </si>
  <si>
    <t>2016-08-23</t>
  </si>
  <si>
    <t>2018-04-25</t>
  </si>
  <si>
    <t>2019-06-05</t>
  </si>
  <si>
    <t>2019-10-22</t>
  </si>
  <si>
    <t>2019-11-29</t>
  </si>
  <si>
    <t>2020-03-09</t>
  </si>
  <si>
    <t>2020-05-13</t>
  </si>
  <si>
    <t>2020-09-06</t>
  </si>
  <si>
    <t>2020-11-07</t>
  </si>
  <si>
    <t>2020-12-05</t>
  </si>
  <si>
    <t>2021-01-01</t>
  </si>
  <si>
    <t>2021-01-25</t>
  </si>
  <si>
    <t>2021-01-29</t>
  </si>
  <si>
    <t>2021-02-04</t>
  </si>
  <si>
    <t>2021-03-23</t>
  </si>
  <si>
    <t>2021-04-26</t>
  </si>
  <si>
    <t>2021-06-05</t>
  </si>
  <si>
    <t>2021-08-18</t>
  </si>
  <si>
    <t>2022-02-21</t>
  </si>
  <si>
    <t>2022-02-22</t>
  </si>
  <si>
    <t>2022-02-26</t>
  </si>
  <si>
    <t>2022-06-24</t>
  </si>
  <si>
    <t>2022-06-25</t>
  </si>
  <si>
    <t>2022-06-29</t>
  </si>
  <si>
    <t>2022-08-26</t>
  </si>
  <si>
    <t>2022-11-01</t>
  </si>
  <si>
    <t>2022-11-07</t>
  </si>
  <si>
    <t>2023-01-24</t>
  </si>
  <si>
    <t>2023-02-06</t>
  </si>
  <si>
    <t>2023-03-09</t>
  </si>
  <si>
    <t>2023-08-17</t>
  </si>
  <si>
    <t>2023-09-17</t>
  </si>
  <si>
    <t>2023-11-17</t>
  </si>
  <si>
    <t>2024-01-10</t>
  </si>
  <si>
    <t>2024-01-16</t>
  </si>
  <si>
    <t>2024-01-17</t>
  </si>
  <si>
    <t>2024-03-19</t>
  </si>
  <si>
    <t>2024-08-05</t>
  </si>
  <si>
    <t>2024-09-05</t>
  </si>
  <si>
    <t>2025-02-07</t>
  </si>
  <si>
    <t>2025-02-10</t>
  </si>
  <si>
    <t>2025-02-23</t>
  </si>
  <si>
    <t>2025-03-04</t>
  </si>
  <si>
    <t>2025-03-05</t>
  </si>
  <si>
    <t>2026-03-24</t>
  </si>
  <si>
    <t>2026-03-29</t>
  </si>
  <si>
    <t>2026-04-05</t>
  </si>
  <si>
    <t>2001-11-27</t>
  </si>
  <si>
    <t>2005-02-18</t>
  </si>
  <si>
    <t>2009-04-05</t>
  </si>
  <si>
    <t>2011-10-02</t>
  </si>
  <si>
    <t>2014-02-03</t>
  </si>
  <si>
    <t>2015-06-28</t>
  </si>
  <si>
    <t>2016-11-28</t>
  </si>
  <si>
    <t>2019-06-27</t>
  </si>
  <si>
    <t>2022-12-15</t>
  </si>
  <si>
    <t>A;V;M</t>
  </si>
  <si>
    <t>A</t>
  </si>
  <si>
    <t>V;I;C</t>
  </si>
  <si>
    <t>V</t>
  </si>
  <si>
    <t>A;B</t>
  </si>
  <si>
    <t>A;B;F</t>
  </si>
  <si>
    <t>V;C</t>
  </si>
  <si>
    <t>cabinet_parties</t>
  </si>
  <si>
    <t>cabinet_party_seats</t>
  </si>
  <si>
    <t>cabinet</t>
  </si>
  <si>
    <t>rasmussen-a-f_1</t>
  </si>
  <si>
    <t>thorning-schmidt_2</t>
  </si>
  <si>
    <t>thorning-schmidt_1</t>
  </si>
  <si>
    <t>frederiksen_1</t>
  </si>
  <si>
    <t>frederiksen_2</t>
  </si>
  <si>
    <t>rasmussen-a-f_2</t>
  </si>
  <si>
    <t>rasmussen-p-n_4</t>
  </si>
  <si>
    <t>rasmussen-l-l_1</t>
  </si>
  <si>
    <t>rasmussen-l-l_2</t>
  </si>
  <si>
    <t>rasmussen-l-l_3</t>
  </si>
  <si>
    <t>2007-11-23</t>
  </si>
  <si>
    <t>rasmussen-a-f_3</t>
  </si>
  <si>
    <t>date</t>
  </si>
  <si>
    <t>election_date</t>
  </si>
  <si>
    <t>total</t>
  </si>
  <si>
    <t>socialdemokratiet</t>
  </si>
  <si>
    <t>radikale_venstre</t>
  </si>
  <si>
    <t>borgerligt_centrum</t>
  </si>
  <si>
    <t>centrum-demokraterne</t>
  </si>
  <si>
    <t>det_konservative_folkeparti</t>
  </si>
  <si>
    <t>nye_borgerlige</t>
  </si>
  <si>
    <t>fremad</t>
  </si>
  <si>
    <t>socialistisk_folkeparti</t>
  </si>
  <si>
    <t>borgernes_parti</t>
  </si>
  <si>
    <t>liberal_alliance</t>
  </si>
  <si>
    <t>kristendemokraterne</t>
  </si>
  <si>
    <t>dansk_folkeparti</t>
  </si>
  <si>
    <t>kristeligt_folkeparti</t>
  </si>
  <si>
    <t>moderaterne</t>
  </si>
  <si>
    <t>venstre</t>
  </si>
  <si>
    <t>frie_gronne</t>
  </si>
  <si>
    <t>danmarksdemokraterne</t>
  </si>
  <si>
    <t>ny_alliance</t>
  </si>
  <si>
    <t>enhedslisten</t>
  </si>
  <si>
    <t>alternativet</t>
  </si>
  <si>
    <t>miljopartiet_fokus</t>
  </si>
  <si>
    <t>sambandsflokkurin</t>
  </si>
  <si>
    <t>folkaflokkurin</t>
  </si>
  <si>
    <t>javnadarflokkurin</t>
  </si>
  <si>
    <t>tjodveldi</t>
  </si>
  <si>
    <t>naleraq</t>
  </si>
  <si>
    <t>inuit_ataqatigiit</t>
  </si>
  <si>
    <t>siumut</t>
  </si>
  <si>
    <t>nunatta_qitornai</t>
  </si>
  <si>
    <t>ufg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</si>
</sst>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8C6F-6F7D-1A4B-9B14-8E0A0E29FBC8}">
  <dimension ref="A1:AJ85"/>
  <sheetViews>
    <sheetView tabSelected="1" workbookViewId="0">
      <pane ySplit="1" topLeftCell="A2" activePane="bottomLeft" state="frozen"/>
      <selection pane="bottomLeft" activeCell="AJ1" sqref="AJ1"/>
    </sheetView>
  </sheetViews>
  <sheetFormatPr baseColWidth="10" defaultRowHeight="16" x14ac:dyDescent="0.2"/>
  <cols>
    <col min="1" max="1" width="10.83203125" style="3"/>
    <col min="2" max="2" width="17" style="3" bestFit="1" customWidth="1"/>
    <col min="3" max="3" width="13.83203125" style="3" bestFit="1" customWidth="1"/>
    <col min="4" max="4" width="17.6640625" bestFit="1" customWidth="1"/>
  </cols>
  <sheetData>
    <row r="1" spans="1:36" x14ac:dyDescent="0.2">
      <c r="A1" s="3" t="s">
        <v>107</v>
      </c>
      <c r="B1" s="3" t="s">
        <v>94</v>
      </c>
      <c r="C1" s="3" t="s">
        <v>92</v>
      </c>
      <c r="D1" t="s">
        <v>93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</row>
    <row r="2" spans="1:36" x14ac:dyDescent="0.2">
      <c r="A2" s="3" t="s">
        <v>2</v>
      </c>
      <c r="B2" s="3" t="s">
        <v>101</v>
      </c>
      <c r="C2" s="3" t="s">
        <v>89</v>
      </c>
      <c r="D2">
        <f>SUM(G2:H2)</f>
        <v>61</v>
      </c>
      <c r="E2" t="s">
        <v>0</v>
      </c>
      <c r="F2">
        <f t="shared" ref="F2:F42" si="0">SUM(G2:AJ2)</f>
        <v>179</v>
      </c>
      <c r="G2">
        <v>52</v>
      </c>
      <c r="H2">
        <v>9</v>
      </c>
      <c r="I2">
        <v>0</v>
      </c>
      <c r="J2">
        <v>0</v>
      </c>
      <c r="K2">
        <v>16</v>
      </c>
      <c r="L2">
        <v>0</v>
      </c>
      <c r="M2">
        <v>0</v>
      </c>
      <c r="N2">
        <v>12</v>
      </c>
      <c r="O2">
        <v>0</v>
      </c>
      <c r="P2">
        <v>0</v>
      </c>
      <c r="Q2">
        <v>0</v>
      </c>
      <c r="R2">
        <v>22</v>
      </c>
      <c r="S2">
        <v>4</v>
      </c>
      <c r="T2">
        <v>0</v>
      </c>
      <c r="U2">
        <v>56</v>
      </c>
      <c r="V2">
        <v>0</v>
      </c>
      <c r="W2">
        <v>0</v>
      </c>
      <c r="X2">
        <v>0</v>
      </c>
      <c r="Y2">
        <v>4</v>
      </c>
      <c r="Z2">
        <v>0</v>
      </c>
      <c r="AA2">
        <v>0</v>
      </c>
      <c r="AB2">
        <v>1</v>
      </c>
      <c r="AC2">
        <v>0</v>
      </c>
      <c r="AD2">
        <v>0</v>
      </c>
      <c r="AE2" s="1">
        <v>1</v>
      </c>
      <c r="AF2">
        <v>0</v>
      </c>
      <c r="AG2">
        <v>1</v>
      </c>
      <c r="AH2">
        <v>1</v>
      </c>
      <c r="AI2">
        <v>0</v>
      </c>
      <c r="AJ2">
        <v>0</v>
      </c>
    </row>
    <row r="3" spans="1:36" x14ac:dyDescent="0.2">
      <c r="A3" s="3" t="s">
        <v>76</v>
      </c>
      <c r="B3" s="3" t="s">
        <v>95</v>
      </c>
      <c r="C3" s="3" t="s">
        <v>91</v>
      </c>
      <c r="D3">
        <f>SUM(U3+K3)</f>
        <v>72</v>
      </c>
      <c r="E3" s="3" t="s">
        <v>1</v>
      </c>
      <c r="F3">
        <f t="shared" si="0"/>
        <v>179</v>
      </c>
      <c r="G3">
        <v>52</v>
      </c>
      <c r="H3">
        <v>9</v>
      </c>
      <c r="I3">
        <v>0</v>
      </c>
      <c r="J3">
        <v>0</v>
      </c>
      <c r="K3">
        <v>16</v>
      </c>
      <c r="L3">
        <v>0</v>
      </c>
      <c r="M3">
        <v>0</v>
      </c>
      <c r="N3">
        <v>12</v>
      </c>
      <c r="O3">
        <v>0</v>
      </c>
      <c r="P3">
        <v>0</v>
      </c>
      <c r="Q3">
        <v>0</v>
      </c>
      <c r="R3">
        <v>22</v>
      </c>
      <c r="S3">
        <v>4</v>
      </c>
      <c r="T3">
        <v>0</v>
      </c>
      <c r="U3">
        <v>56</v>
      </c>
      <c r="V3">
        <v>0</v>
      </c>
      <c r="W3">
        <v>0</v>
      </c>
      <c r="X3">
        <v>0</v>
      </c>
      <c r="Y3">
        <v>4</v>
      </c>
      <c r="Z3">
        <v>0</v>
      </c>
      <c r="AA3">
        <v>0</v>
      </c>
      <c r="AB3">
        <v>1</v>
      </c>
      <c r="AC3">
        <v>0</v>
      </c>
      <c r="AD3">
        <v>0</v>
      </c>
      <c r="AE3" s="1">
        <v>1</v>
      </c>
      <c r="AF3">
        <v>0</v>
      </c>
      <c r="AG3">
        <v>1</v>
      </c>
      <c r="AH3">
        <v>1</v>
      </c>
      <c r="AI3">
        <v>0</v>
      </c>
      <c r="AJ3">
        <v>0</v>
      </c>
    </row>
    <row r="4" spans="1:36" x14ac:dyDescent="0.2">
      <c r="A4" s="3" t="s">
        <v>3</v>
      </c>
      <c r="B4" s="3" t="s">
        <v>95</v>
      </c>
      <c r="C4" s="3" t="s">
        <v>91</v>
      </c>
      <c r="D4">
        <f>SUM(U4+K4)</f>
        <v>71</v>
      </c>
      <c r="E4" t="s">
        <v>1</v>
      </c>
      <c r="F4">
        <f t="shared" si="0"/>
        <v>179</v>
      </c>
      <c r="G4">
        <v>52</v>
      </c>
      <c r="H4">
        <v>9</v>
      </c>
      <c r="I4">
        <v>0</v>
      </c>
      <c r="J4">
        <v>0</v>
      </c>
      <c r="K4">
        <v>16</v>
      </c>
      <c r="L4">
        <v>0</v>
      </c>
      <c r="M4">
        <v>0</v>
      </c>
      <c r="N4">
        <v>12</v>
      </c>
      <c r="O4">
        <v>0</v>
      </c>
      <c r="P4">
        <v>0</v>
      </c>
      <c r="Q4">
        <v>0</v>
      </c>
      <c r="R4">
        <v>22</v>
      </c>
      <c r="S4">
        <v>4</v>
      </c>
      <c r="T4">
        <v>0</v>
      </c>
      <c r="U4">
        <v>55</v>
      </c>
      <c r="V4">
        <v>0</v>
      </c>
      <c r="W4">
        <v>0</v>
      </c>
      <c r="X4">
        <v>0</v>
      </c>
      <c r="Y4">
        <v>4</v>
      </c>
      <c r="Z4">
        <v>0</v>
      </c>
      <c r="AA4">
        <v>0</v>
      </c>
      <c r="AB4">
        <v>1</v>
      </c>
      <c r="AC4">
        <v>0</v>
      </c>
      <c r="AD4">
        <v>0</v>
      </c>
      <c r="AE4" s="1">
        <v>1</v>
      </c>
      <c r="AF4">
        <v>0</v>
      </c>
      <c r="AG4">
        <v>1</v>
      </c>
      <c r="AH4">
        <v>1</v>
      </c>
      <c r="AI4">
        <v>0</v>
      </c>
      <c r="AJ4">
        <v>1</v>
      </c>
    </row>
    <row r="5" spans="1:36" x14ac:dyDescent="0.2">
      <c r="A5" s="3" t="s">
        <v>4</v>
      </c>
      <c r="B5" s="3" t="s">
        <v>95</v>
      </c>
      <c r="C5" s="3" t="s">
        <v>91</v>
      </c>
      <c r="D5">
        <f>SUM(U5+K5)</f>
        <v>70</v>
      </c>
      <c r="E5" t="s">
        <v>1</v>
      </c>
      <c r="F5">
        <f t="shared" si="0"/>
        <v>179</v>
      </c>
      <c r="G5">
        <v>52</v>
      </c>
      <c r="H5">
        <v>9</v>
      </c>
      <c r="I5">
        <v>0</v>
      </c>
      <c r="J5">
        <v>0</v>
      </c>
      <c r="K5">
        <v>16</v>
      </c>
      <c r="L5">
        <v>0</v>
      </c>
      <c r="M5">
        <v>0</v>
      </c>
      <c r="N5">
        <v>12</v>
      </c>
      <c r="O5">
        <v>0</v>
      </c>
      <c r="P5">
        <v>0</v>
      </c>
      <c r="Q5">
        <v>0</v>
      </c>
      <c r="R5">
        <v>22</v>
      </c>
      <c r="S5">
        <v>4</v>
      </c>
      <c r="T5">
        <v>0</v>
      </c>
      <c r="U5">
        <v>54</v>
      </c>
      <c r="V5">
        <v>0</v>
      </c>
      <c r="W5">
        <v>0</v>
      </c>
      <c r="X5">
        <v>0</v>
      </c>
      <c r="Y5">
        <v>4</v>
      </c>
      <c r="Z5">
        <v>0</v>
      </c>
      <c r="AA5">
        <v>0</v>
      </c>
      <c r="AB5">
        <v>1</v>
      </c>
      <c r="AC5">
        <v>0</v>
      </c>
      <c r="AD5">
        <v>0</v>
      </c>
      <c r="AE5" s="1">
        <v>1</v>
      </c>
      <c r="AF5">
        <v>0</v>
      </c>
      <c r="AG5">
        <v>1</v>
      </c>
      <c r="AH5">
        <v>1</v>
      </c>
      <c r="AI5">
        <v>0</v>
      </c>
      <c r="AJ5">
        <v>2</v>
      </c>
    </row>
    <row r="6" spans="1:36" x14ac:dyDescent="0.2">
      <c r="A6" s="3" t="s">
        <v>5</v>
      </c>
      <c r="B6" s="3" t="s">
        <v>95</v>
      </c>
      <c r="C6" s="3" t="s">
        <v>91</v>
      </c>
      <c r="D6">
        <f>SUM(U6+K6)</f>
        <v>69</v>
      </c>
      <c r="E6" t="s">
        <v>1</v>
      </c>
      <c r="F6">
        <f t="shared" si="0"/>
        <v>179</v>
      </c>
      <c r="G6">
        <v>52</v>
      </c>
      <c r="H6">
        <v>9</v>
      </c>
      <c r="I6">
        <v>0</v>
      </c>
      <c r="J6">
        <v>0</v>
      </c>
      <c r="K6">
        <v>16</v>
      </c>
      <c r="L6">
        <v>0</v>
      </c>
      <c r="M6">
        <v>0</v>
      </c>
      <c r="N6">
        <v>12</v>
      </c>
      <c r="O6">
        <v>0</v>
      </c>
      <c r="P6">
        <v>0</v>
      </c>
      <c r="Q6">
        <v>0</v>
      </c>
      <c r="R6">
        <v>22</v>
      </c>
      <c r="S6">
        <v>4</v>
      </c>
      <c r="T6">
        <v>0</v>
      </c>
      <c r="U6">
        <v>53</v>
      </c>
      <c r="V6">
        <v>0</v>
      </c>
      <c r="W6">
        <v>0</v>
      </c>
      <c r="X6">
        <v>0</v>
      </c>
      <c r="Y6">
        <v>4</v>
      </c>
      <c r="Z6">
        <v>0</v>
      </c>
      <c r="AA6">
        <v>0</v>
      </c>
      <c r="AB6">
        <v>1</v>
      </c>
      <c r="AC6">
        <v>0</v>
      </c>
      <c r="AD6">
        <v>0</v>
      </c>
      <c r="AE6" s="1">
        <v>1</v>
      </c>
      <c r="AF6">
        <v>0</v>
      </c>
      <c r="AG6">
        <v>1</v>
      </c>
      <c r="AH6">
        <v>1</v>
      </c>
      <c r="AI6">
        <v>0</v>
      </c>
      <c r="AJ6">
        <v>3</v>
      </c>
    </row>
    <row r="7" spans="1:36" x14ac:dyDescent="0.2">
      <c r="A7" s="3" t="s">
        <v>6</v>
      </c>
      <c r="B7" s="3" t="s">
        <v>95</v>
      </c>
      <c r="C7" s="3" t="s">
        <v>91</v>
      </c>
      <c r="D7">
        <f>SUM(U7+K7)</f>
        <v>70</v>
      </c>
      <c r="E7" t="s">
        <v>0</v>
      </c>
      <c r="F7">
        <f t="shared" si="0"/>
        <v>179</v>
      </c>
      <c r="G7">
        <v>47</v>
      </c>
      <c r="H7">
        <v>17</v>
      </c>
      <c r="I7">
        <v>0</v>
      </c>
      <c r="J7">
        <v>0</v>
      </c>
      <c r="K7">
        <v>18</v>
      </c>
      <c r="L7">
        <v>0</v>
      </c>
      <c r="M7">
        <v>0</v>
      </c>
      <c r="N7">
        <v>11</v>
      </c>
      <c r="O7">
        <v>0</v>
      </c>
      <c r="P7">
        <v>0</v>
      </c>
      <c r="Q7">
        <v>0</v>
      </c>
      <c r="R7">
        <v>24</v>
      </c>
      <c r="S7">
        <v>0</v>
      </c>
      <c r="T7">
        <v>0</v>
      </c>
      <c r="U7">
        <v>52</v>
      </c>
      <c r="V7">
        <v>0</v>
      </c>
      <c r="W7">
        <v>0</v>
      </c>
      <c r="X7">
        <v>0</v>
      </c>
      <c r="Y7">
        <v>6</v>
      </c>
      <c r="Z7">
        <v>0</v>
      </c>
      <c r="AA7">
        <v>0</v>
      </c>
      <c r="AB7">
        <v>0</v>
      </c>
      <c r="AC7">
        <v>1</v>
      </c>
      <c r="AD7">
        <v>0</v>
      </c>
      <c r="AE7" s="1">
        <v>1</v>
      </c>
      <c r="AF7">
        <v>0</v>
      </c>
      <c r="AG7">
        <v>1</v>
      </c>
      <c r="AH7">
        <v>1</v>
      </c>
      <c r="AI7">
        <v>0</v>
      </c>
      <c r="AJ7">
        <v>0</v>
      </c>
    </row>
    <row r="8" spans="1:36" x14ac:dyDescent="0.2">
      <c r="A8" s="3" t="s">
        <v>77</v>
      </c>
      <c r="B8" s="3" t="s">
        <v>100</v>
      </c>
      <c r="C8" s="3" t="s">
        <v>91</v>
      </c>
      <c r="D8">
        <f t="shared" ref="D8:D27" si="1">SUM(U8+K8)</f>
        <v>70</v>
      </c>
      <c r="E8" s="3" t="s">
        <v>1</v>
      </c>
      <c r="F8">
        <f t="shared" si="0"/>
        <v>179</v>
      </c>
      <c r="G8">
        <v>47</v>
      </c>
      <c r="H8">
        <v>17</v>
      </c>
      <c r="I8">
        <v>0</v>
      </c>
      <c r="J8">
        <v>0</v>
      </c>
      <c r="K8">
        <v>18</v>
      </c>
      <c r="L8">
        <v>0</v>
      </c>
      <c r="M8">
        <v>0</v>
      </c>
      <c r="N8">
        <v>11</v>
      </c>
      <c r="O8">
        <v>0</v>
      </c>
      <c r="P8">
        <v>0</v>
      </c>
      <c r="Q8">
        <v>0</v>
      </c>
      <c r="R8">
        <v>24</v>
      </c>
      <c r="S8">
        <v>0</v>
      </c>
      <c r="T8">
        <v>0</v>
      </c>
      <c r="U8">
        <v>52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1</v>
      </c>
      <c r="AD8">
        <v>0</v>
      </c>
      <c r="AE8" s="1">
        <v>1</v>
      </c>
      <c r="AF8">
        <v>0</v>
      </c>
      <c r="AG8">
        <v>1</v>
      </c>
      <c r="AH8">
        <v>1</v>
      </c>
      <c r="AI8">
        <v>0</v>
      </c>
      <c r="AJ8">
        <v>0</v>
      </c>
    </row>
    <row r="9" spans="1:36" x14ac:dyDescent="0.2">
      <c r="A9" s="3" t="s">
        <v>7</v>
      </c>
      <c r="B9" s="3" t="s">
        <v>100</v>
      </c>
      <c r="C9" s="3" t="s">
        <v>91</v>
      </c>
      <c r="D9">
        <f t="shared" si="1"/>
        <v>70</v>
      </c>
      <c r="E9" t="s">
        <v>1</v>
      </c>
      <c r="F9">
        <f t="shared" si="0"/>
        <v>179</v>
      </c>
      <c r="G9">
        <v>47</v>
      </c>
      <c r="H9">
        <v>16</v>
      </c>
      <c r="I9">
        <v>0</v>
      </c>
      <c r="J9">
        <v>0</v>
      </c>
      <c r="K9">
        <v>18</v>
      </c>
      <c r="L9">
        <v>0</v>
      </c>
      <c r="M9">
        <v>0</v>
      </c>
      <c r="N9">
        <v>11</v>
      </c>
      <c r="O9">
        <v>0</v>
      </c>
      <c r="P9">
        <v>0</v>
      </c>
      <c r="Q9">
        <v>0</v>
      </c>
      <c r="R9">
        <v>24</v>
      </c>
      <c r="S9">
        <v>0</v>
      </c>
      <c r="T9">
        <v>0</v>
      </c>
      <c r="U9">
        <v>52</v>
      </c>
      <c r="V9">
        <v>0</v>
      </c>
      <c r="W9">
        <v>0</v>
      </c>
      <c r="X9">
        <v>1</v>
      </c>
      <c r="Y9">
        <v>6</v>
      </c>
      <c r="Z9">
        <v>0</v>
      </c>
      <c r="AA9">
        <v>0</v>
      </c>
      <c r="AB9">
        <v>0</v>
      </c>
      <c r="AC9">
        <v>1</v>
      </c>
      <c r="AD9">
        <v>0</v>
      </c>
      <c r="AE9" s="1">
        <v>1</v>
      </c>
      <c r="AF9">
        <v>0</v>
      </c>
      <c r="AG9">
        <v>1</v>
      </c>
      <c r="AH9">
        <v>1</v>
      </c>
      <c r="AI9">
        <v>0</v>
      </c>
      <c r="AJ9">
        <v>0</v>
      </c>
    </row>
    <row r="10" spans="1:36" x14ac:dyDescent="0.2">
      <c r="A10" s="3" t="s">
        <v>8</v>
      </c>
      <c r="B10" s="3" t="s">
        <v>100</v>
      </c>
      <c r="C10" s="3" t="s">
        <v>91</v>
      </c>
      <c r="D10">
        <f t="shared" si="1"/>
        <v>70</v>
      </c>
      <c r="E10" t="s">
        <v>1</v>
      </c>
      <c r="F10">
        <f t="shared" si="0"/>
        <v>179</v>
      </c>
      <c r="G10">
        <v>47</v>
      </c>
      <c r="H10">
        <v>16</v>
      </c>
      <c r="I10">
        <v>0</v>
      </c>
      <c r="J10">
        <v>0</v>
      </c>
      <c r="K10">
        <v>18</v>
      </c>
      <c r="L10">
        <v>0</v>
      </c>
      <c r="M10">
        <v>0</v>
      </c>
      <c r="N10">
        <v>11</v>
      </c>
      <c r="O10">
        <v>0</v>
      </c>
      <c r="P10">
        <v>0</v>
      </c>
      <c r="Q10">
        <v>0</v>
      </c>
      <c r="R10">
        <v>23</v>
      </c>
      <c r="S10">
        <v>0</v>
      </c>
      <c r="T10">
        <v>0</v>
      </c>
      <c r="U10">
        <v>52</v>
      </c>
      <c r="V10">
        <v>0</v>
      </c>
      <c r="W10">
        <v>0</v>
      </c>
      <c r="X10">
        <v>1</v>
      </c>
      <c r="Y10">
        <v>6</v>
      </c>
      <c r="Z10">
        <v>0</v>
      </c>
      <c r="AA10">
        <v>0</v>
      </c>
      <c r="AB10">
        <v>0</v>
      </c>
      <c r="AC10">
        <v>1</v>
      </c>
      <c r="AD10">
        <v>0</v>
      </c>
      <c r="AE10" s="1">
        <v>1</v>
      </c>
      <c r="AF10">
        <v>0</v>
      </c>
      <c r="AG10">
        <v>1</v>
      </c>
      <c r="AH10">
        <v>1</v>
      </c>
      <c r="AI10">
        <v>0</v>
      </c>
      <c r="AJ10">
        <v>1</v>
      </c>
    </row>
    <row r="11" spans="1:36" x14ac:dyDescent="0.2">
      <c r="A11" s="3" t="s">
        <v>9</v>
      </c>
      <c r="B11" s="3" t="s">
        <v>100</v>
      </c>
      <c r="C11" s="3" t="s">
        <v>91</v>
      </c>
      <c r="D11">
        <f t="shared" si="1"/>
        <v>70</v>
      </c>
      <c r="E11" t="s">
        <v>1</v>
      </c>
      <c r="F11">
        <f t="shared" si="0"/>
        <v>179</v>
      </c>
      <c r="G11">
        <v>47</v>
      </c>
      <c r="H11">
        <v>16</v>
      </c>
      <c r="I11">
        <v>0</v>
      </c>
      <c r="J11">
        <v>1</v>
      </c>
      <c r="K11">
        <v>18</v>
      </c>
      <c r="L11">
        <v>0</v>
      </c>
      <c r="M11">
        <v>0</v>
      </c>
      <c r="N11">
        <v>11</v>
      </c>
      <c r="O11">
        <v>0</v>
      </c>
      <c r="P11">
        <v>0</v>
      </c>
      <c r="Q11">
        <v>0</v>
      </c>
      <c r="R11">
        <v>23</v>
      </c>
      <c r="S11">
        <v>0</v>
      </c>
      <c r="T11">
        <v>0</v>
      </c>
      <c r="U11">
        <v>52</v>
      </c>
      <c r="V11">
        <v>0</v>
      </c>
      <c r="W11">
        <v>0</v>
      </c>
      <c r="X11">
        <v>1</v>
      </c>
      <c r="Y11">
        <v>6</v>
      </c>
      <c r="Z11">
        <v>0</v>
      </c>
      <c r="AA11">
        <v>0</v>
      </c>
      <c r="AB11">
        <v>0</v>
      </c>
      <c r="AC11">
        <v>1</v>
      </c>
      <c r="AD11">
        <v>0</v>
      </c>
      <c r="AE11" s="1">
        <v>1</v>
      </c>
      <c r="AF11">
        <v>0</v>
      </c>
      <c r="AG11">
        <v>1</v>
      </c>
      <c r="AH11">
        <v>1</v>
      </c>
      <c r="AI11">
        <v>0</v>
      </c>
      <c r="AJ11">
        <v>0</v>
      </c>
    </row>
    <row r="12" spans="1:36" x14ac:dyDescent="0.2">
      <c r="A12" s="3" t="s">
        <v>10</v>
      </c>
      <c r="B12" s="3" t="s">
        <v>100</v>
      </c>
      <c r="C12" s="3" t="s">
        <v>91</v>
      </c>
      <c r="D12">
        <f t="shared" si="1"/>
        <v>64</v>
      </c>
      <c r="E12" t="s">
        <v>0</v>
      </c>
      <c r="F12">
        <f t="shared" si="0"/>
        <v>179</v>
      </c>
      <c r="G12">
        <v>45</v>
      </c>
      <c r="H12">
        <v>9</v>
      </c>
      <c r="I12">
        <v>0</v>
      </c>
      <c r="J12">
        <v>0</v>
      </c>
      <c r="K12">
        <v>18</v>
      </c>
      <c r="L12">
        <v>0</v>
      </c>
      <c r="M12">
        <v>0</v>
      </c>
      <c r="N12">
        <v>23</v>
      </c>
      <c r="O12">
        <v>0</v>
      </c>
      <c r="P12">
        <v>0</v>
      </c>
      <c r="Q12">
        <v>0</v>
      </c>
      <c r="R12">
        <v>25</v>
      </c>
      <c r="S12">
        <v>0</v>
      </c>
      <c r="T12">
        <v>0</v>
      </c>
      <c r="U12">
        <v>46</v>
      </c>
      <c r="V12">
        <v>0</v>
      </c>
      <c r="W12">
        <v>0</v>
      </c>
      <c r="X12">
        <v>5</v>
      </c>
      <c r="Y12">
        <v>4</v>
      </c>
      <c r="Z12">
        <v>0</v>
      </c>
      <c r="AA12">
        <v>0</v>
      </c>
      <c r="AB12">
        <v>1</v>
      </c>
      <c r="AC12">
        <v>0</v>
      </c>
      <c r="AD12">
        <v>0</v>
      </c>
      <c r="AE12" s="1">
        <v>1</v>
      </c>
      <c r="AF12">
        <v>0</v>
      </c>
      <c r="AG12">
        <v>1</v>
      </c>
      <c r="AH12">
        <v>1</v>
      </c>
      <c r="AI12">
        <v>0</v>
      </c>
      <c r="AJ12">
        <v>0</v>
      </c>
    </row>
    <row r="13" spans="1:36" x14ac:dyDescent="0.2">
      <c r="A13" s="3" t="s">
        <v>105</v>
      </c>
      <c r="B13" s="3" t="s">
        <v>106</v>
      </c>
      <c r="C13" s="3" t="s">
        <v>91</v>
      </c>
      <c r="D13">
        <f t="shared" ref="D13" si="2">SUM(U13+K13)</f>
        <v>64</v>
      </c>
      <c r="E13" t="s">
        <v>1</v>
      </c>
      <c r="F13">
        <f t="shared" ref="F13" si="3">SUM(G13:AJ13)</f>
        <v>179</v>
      </c>
      <c r="G13">
        <v>45</v>
      </c>
      <c r="H13">
        <v>9</v>
      </c>
      <c r="I13">
        <v>0</v>
      </c>
      <c r="J13">
        <v>0</v>
      </c>
      <c r="K13">
        <v>18</v>
      </c>
      <c r="L13">
        <v>0</v>
      </c>
      <c r="M13">
        <v>0</v>
      </c>
      <c r="N13">
        <v>23</v>
      </c>
      <c r="O13">
        <v>0</v>
      </c>
      <c r="P13">
        <v>0</v>
      </c>
      <c r="Q13">
        <v>0</v>
      </c>
      <c r="R13">
        <v>25</v>
      </c>
      <c r="S13">
        <v>0</v>
      </c>
      <c r="T13">
        <v>0</v>
      </c>
      <c r="U13">
        <v>46</v>
      </c>
      <c r="V13">
        <v>0</v>
      </c>
      <c r="W13">
        <v>0</v>
      </c>
      <c r="X13">
        <v>5</v>
      </c>
      <c r="Y13">
        <v>4</v>
      </c>
      <c r="Z13">
        <v>0</v>
      </c>
      <c r="AA13">
        <v>0</v>
      </c>
      <c r="AB13">
        <v>1</v>
      </c>
      <c r="AC13">
        <v>0</v>
      </c>
      <c r="AD13">
        <v>0</v>
      </c>
      <c r="AE13" s="1">
        <v>1</v>
      </c>
      <c r="AF13">
        <v>0</v>
      </c>
      <c r="AG13">
        <v>1</v>
      </c>
      <c r="AH13">
        <v>1</v>
      </c>
      <c r="AI13">
        <v>0</v>
      </c>
      <c r="AJ13">
        <v>0</v>
      </c>
    </row>
    <row r="14" spans="1:36" x14ac:dyDescent="0.2">
      <c r="A14" s="3" t="s">
        <v>11</v>
      </c>
      <c r="B14" s="3" t="s">
        <v>106</v>
      </c>
      <c r="C14" s="3" t="s">
        <v>91</v>
      </c>
      <c r="D14">
        <f t="shared" si="1"/>
        <v>63</v>
      </c>
      <c r="E14" t="s">
        <v>1</v>
      </c>
      <c r="F14">
        <f t="shared" si="0"/>
        <v>179</v>
      </c>
      <c r="G14">
        <v>45</v>
      </c>
      <c r="H14">
        <v>9</v>
      </c>
      <c r="I14">
        <v>0</v>
      </c>
      <c r="J14">
        <v>0</v>
      </c>
      <c r="K14">
        <v>17</v>
      </c>
      <c r="L14">
        <v>0</v>
      </c>
      <c r="M14">
        <v>0</v>
      </c>
      <c r="N14">
        <v>23</v>
      </c>
      <c r="O14">
        <v>0</v>
      </c>
      <c r="P14">
        <v>0</v>
      </c>
      <c r="Q14">
        <v>0</v>
      </c>
      <c r="R14">
        <v>25</v>
      </c>
      <c r="S14">
        <v>0</v>
      </c>
      <c r="T14">
        <v>0</v>
      </c>
      <c r="U14">
        <v>46</v>
      </c>
      <c r="V14">
        <v>0</v>
      </c>
      <c r="W14">
        <v>0</v>
      </c>
      <c r="X14">
        <v>5</v>
      </c>
      <c r="Y14">
        <v>4</v>
      </c>
      <c r="Z14">
        <v>0</v>
      </c>
      <c r="AA14">
        <v>0</v>
      </c>
      <c r="AB14">
        <v>1</v>
      </c>
      <c r="AC14">
        <v>0</v>
      </c>
      <c r="AD14">
        <v>0</v>
      </c>
      <c r="AE14" s="1">
        <v>1</v>
      </c>
      <c r="AF14">
        <v>0</v>
      </c>
      <c r="AG14">
        <v>1</v>
      </c>
      <c r="AH14">
        <v>1</v>
      </c>
      <c r="AI14">
        <v>0</v>
      </c>
      <c r="AJ14">
        <v>1</v>
      </c>
    </row>
    <row r="15" spans="1:36" x14ac:dyDescent="0.2">
      <c r="A15" s="3" t="s">
        <v>12</v>
      </c>
      <c r="B15" s="3" t="s">
        <v>106</v>
      </c>
      <c r="C15" s="3" t="s">
        <v>91</v>
      </c>
      <c r="D15">
        <f t="shared" si="1"/>
        <v>63</v>
      </c>
      <c r="E15" t="s">
        <v>1</v>
      </c>
      <c r="F15">
        <f t="shared" si="0"/>
        <v>179</v>
      </c>
      <c r="G15">
        <v>45</v>
      </c>
      <c r="H15">
        <v>9</v>
      </c>
      <c r="I15">
        <v>0</v>
      </c>
      <c r="J15">
        <v>0</v>
      </c>
      <c r="K15">
        <v>17</v>
      </c>
      <c r="L15">
        <v>0</v>
      </c>
      <c r="M15">
        <v>0</v>
      </c>
      <c r="N15">
        <v>23</v>
      </c>
      <c r="O15">
        <v>0</v>
      </c>
      <c r="P15">
        <v>0</v>
      </c>
      <c r="Q15">
        <v>0</v>
      </c>
      <c r="R15">
        <v>25</v>
      </c>
      <c r="S15">
        <v>0</v>
      </c>
      <c r="T15">
        <v>0</v>
      </c>
      <c r="U15">
        <v>46</v>
      </c>
      <c r="V15">
        <v>0</v>
      </c>
      <c r="W15">
        <v>0</v>
      </c>
      <c r="X15">
        <v>4</v>
      </c>
      <c r="Y15">
        <v>4</v>
      </c>
      <c r="Z15">
        <v>0</v>
      </c>
      <c r="AA15">
        <v>0</v>
      </c>
      <c r="AB15">
        <v>1</v>
      </c>
      <c r="AC15">
        <v>0</v>
      </c>
      <c r="AD15">
        <v>0</v>
      </c>
      <c r="AE15" s="1">
        <v>1</v>
      </c>
      <c r="AF15">
        <v>0</v>
      </c>
      <c r="AG15">
        <v>1</v>
      </c>
      <c r="AH15">
        <v>1</v>
      </c>
      <c r="AI15">
        <v>0</v>
      </c>
      <c r="AJ15">
        <v>2</v>
      </c>
    </row>
    <row r="16" spans="1:36" x14ac:dyDescent="0.2">
      <c r="A16" s="3" t="s">
        <v>13</v>
      </c>
      <c r="B16" s="3" t="s">
        <v>106</v>
      </c>
      <c r="C16" s="3" t="s">
        <v>91</v>
      </c>
      <c r="D16">
        <f t="shared" si="1"/>
        <v>63</v>
      </c>
      <c r="E16" t="s">
        <v>1</v>
      </c>
      <c r="F16">
        <f t="shared" si="0"/>
        <v>179</v>
      </c>
      <c r="G16">
        <v>45</v>
      </c>
      <c r="H16">
        <v>8</v>
      </c>
      <c r="I16">
        <v>1</v>
      </c>
      <c r="J16">
        <v>0</v>
      </c>
      <c r="K16">
        <v>17</v>
      </c>
      <c r="L16">
        <v>0</v>
      </c>
      <c r="M16">
        <v>0</v>
      </c>
      <c r="N16">
        <v>23</v>
      </c>
      <c r="O16">
        <v>0</v>
      </c>
      <c r="P16">
        <v>0</v>
      </c>
      <c r="Q16">
        <v>0</v>
      </c>
      <c r="R16">
        <v>25</v>
      </c>
      <c r="S16">
        <v>0</v>
      </c>
      <c r="T16">
        <v>0</v>
      </c>
      <c r="U16">
        <v>46</v>
      </c>
      <c r="V16">
        <v>0</v>
      </c>
      <c r="W16">
        <v>0</v>
      </c>
      <c r="X16">
        <v>4</v>
      </c>
      <c r="Y16">
        <v>4</v>
      </c>
      <c r="Z16">
        <v>0</v>
      </c>
      <c r="AA16">
        <v>0</v>
      </c>
      <c r="AB16">
        <v>1</v>
      </c>
      <c r="AC16">
        <v>0</v>
      </c>
      <c r="AD16">
        <v>0</v>
      </c>
      <c r="AE16" s="1">
        <v>1</v>
      </c>
      <c r="AF16">
        <v>0</v>
      </c>
      <c r="AG16">
        <v>1</v>
      </c>
      <c r="AH16">
        <v>1</v>
      </c>
      <c r="AI16">
        <v>0</v>
      </c>
      <c r="AJ16">
        <v>2</v>
      </c>
    </row>
    <row r="17" spans="1:36" x14ac:dyDescent="0.2">
      <c r="A17" s="3" t="s">
        <v>14</v>
      </c>
      <c r="B17" s="3" t="s">
        <v>106</v>
      </c>
      <c r="C17" s="3" t="s">
        <v>91</v>
      </c>
      <c r="D17">
        <f t="shared" si="1"/>
        <v>63</v>
      </c>
      <c r="E17" t="s">
        <v>1</v>
      </c>
      <c r="F17">
        <f t="shared" si="0"/>
        <v>179</v>
      </c>
      <c r="G17">
        <v>45</v>
      </c>
      <c r="H17">
        <v>8</v>
      </c>
      <c r="I17">
        <v>1</v>
      </c>
      <c r="J17">
        <v>0</v>
      </c>
      <c r="K17">
        <v>17</v>
      </c>
      <c r="L17">
        <v>0</v>
      </c>
      <c r="M17">
        <v>0</v>
      </c>
      <c r="N17">
        <v>23</v>
      </c>
      <c r="O17">
        <v>0</v>
      </c>
      <c r="P17">
        <v>0</v>
      </c>
      <c r="Q17">
        <v>0</v>
      </c>
      <c r="R17">
        <v>25</v>
      </c>
      <c r="S17">
        <v>0</v>
      </c>
      <c r="T17">
        <v>0</v>
      </c>
      <c r="U17">
        <v>46</v>
      </c>
      <c r="V17">
        <v>0</v>
      </c>
      <c r="W17">
        <v>0</v>
      </c>
      <c r="X17">
        <v>3</v>
      </c>
      <c r="Y17">
        <v>4</v>
      </c>
      <c r="Z17">
        <v>0</v>
      </c>
      <c r="AA17">
        <v>0</v>
      </c>
      <c r="AB17">
        <v>1</v>
      </c>
      <c r="AC17">
        <v>0</v>
      </c>
      <c r="AD17">
        <v>0</v>
      </c>
      <c r="AE17" s="1">
        <v>1</v>
      </c>
      <c r="AF17">
        <v>0</v>
      </c>
      <c r="AG17">
        <v>1</v>
      </c>
      <c r="AH17">
        <v>1</v>
      </c>
      <c r="AI17">
        <v>0</v>
      </c>
      <c r="AJ17">
        <v>3</v>
      </c>
    </row>
    <row r="18" spans="1:36" x14ac:dyDescent="0.2">
      <c r="A18" s="3" t="s">
        <v>15</v>
      </c>
      <c r="B18" s="3" t="s">
        <v>106</v>
      </c>
      <c r="C18" s="3" t="s">
        <v>91</v>
      </c>
      <c r="D18">
        <f t="shared" si="1"/>
        <v>63</v>
      </c>
      <c r="E18" t="s">
        <v>1</v>
      </c>
      <c r="F18">
        <f t="shared" si="0"/>
        <v>179</v>
      </c>
      <c r="G18">
        <v>45</v>
      </c>
      <c r="H18">
        <v>9</v>
      </c>
      <c r="I18">
        <v>1</v>
      </c>
      <c r="J18">
        <v>0</v>
      </c>
      <c r="K18">
        <v>17</v>
      </c>
      <c r="L18">
        <v>0</v>
      </c>
      <c r="M18">
        <v>0</v>
      </c>
      <c r="N18">
        <v>23</v>
      </c>
      <c r="O18">
        <v>0</v>
      </c>
      <c r="P18">
        <v>0</v>
      </c>
      <c r="Q18">
        <v>0</v>
      </c>
      <c r="R18">
        <v>25</v>
      </c>
      <c r="S18">
        <v>0</v>
      </c>
      <c r="T18">
        <v>0</v>
      </c>
      <c r="U18">
        <v>46</v>
      </c>
      <c r="V18">
        <v>0</v>
      </c>
      <c r="W18">
        <v>0</v>
      </c>
      <c r="X18">
        <v>3</v>
      </c>
      <c r="Y18">
        <v>4</v>
      </c>
      <c r="Z18">
        <v>0</v>
      </c>
      <c r="AA18">
        <v>0</v>
      </c>
      <c r="AB18">
        <v>1</v>
      </c>
      <c r="AC18">
        <v>0</v>
      </c>
      <c r="AD18">
        <v>0</v>
      </c>
      <c r="AE18" s="1">
        <v>1</v>
      </c>
      <c r="AF18">
        <v>0</v>
      </c>
      <c r="AG18">
        <v>1</v>
      </c>
      <c r="AH18">
        <v>1</v>
      </c>
      <c r="AI18">
        <v>0</v>
      </c>
      <c r="AJ18">
        <v>2</v>
      </c>
    </row>
    <row r="19" spans="1:36" x14ac:dyDescent="0.2">
      <c r="A19" s="3" t="s">
        <v>16</v>
      </c>
      <c r="B19" s="3" t="s">
        <v>106</v>
      </c>
      <c r="C19" s="3" t="s">
        <v>91</v>
      </c>
      <c r="D19">
        <f t="shared" si="1"/>
        <v>64</v>
      </c>
      <c r="E19" t="s">
        <v>1</v>
      </c>
      <c r="F19">
        <f t="shared" si="0"/>
        <v>179</v>
      </c>
      <c r="G19">
        <v>45</v>
      </c>
      <c r="H19">
        <v>9</v>
      </c>
      <c r="I19">
        <v>1</v>
      </c>
      <c r="J19">
        <v>0</v>
      </c>
      <c r="K19">
        <v>18</v>
      </c>
      <c r="L19">
        <v>0</v>
      </c>
      <c r="M19">
        <v>0</v>
      </c>
      <c r="N19">
        <v>23</v>
      </c>
      <c r="O19">
        <v>0</v>
      </c>
      <c r="P19">
        <v>0</v>
      </c>
      <c r="Q19">
        <v>0</v>
      </c>
      <c r="R19">
        <v>25</v>
      </c>
      <c r="S19">
        <v>0</v>
      </c>
      <c r="T19">
        <v>0</v>
      </c>
      <c r="U19">
        <v>46</v>
      </c>
      <c r="V19">
        <v>0</v>
      </c>
      <c r="W19">
        <v>0</v>
      </c>
      <c r="X19">
        <v>2</v>
      </c>
      <c r="Y19">
        <v>4</v>
      </c>
      <c r="Z19">
        <v>0</v>
      </c>
      <c r="AA19">
        <v>0</v>
      </c>
      <c r="AB19">
        <v>1</v>
      </c>
      <c r="AC19">
        <v>0</v>
      </c>
      <c r="AD19">
        <v>0</v>
      </c>
      <c r="AE19" s="1">
        <v>1</v>
      </c>
      <c r="AF19">
        <v>0</v>
      </c>
      <c r="AG19">
        <v>1</v>
      </c>
      <c r="AH19">
        <v>1</v>
      </c>
      <c r="AI19">
        <v>0</v>
      </c>
      <c r="AJ19">
        <v>2</v>
      </c>
    </row>
    <row r="20" spans="1:36" x14ac:dyDescent="0.2">
      <c r="A20" s="3" t="s">
        <v>17</v>
      </c>
      <c r="B20" s="3" t="s">
        <v>106</v>
      </c>
      <c r="C20" s="3" t="s">
        <v>91</v>
      </c>
      <c r="D20">
        <f t="shared" si="1"/>
        <v>65</v>
      </c>
      <c r="E20" t="s">
        <v>1</v>
      </c>
      <c r="F20">
        <f t="shared" si="0"/>
        <v>179</v>
      </c>
      <c r="G20">
        <v>45</v>
      </c>
      <c r="H20">
        <v>9</v>
      </c>
      <c r="I20">
        <v>1</v>
      </c>
      <c r="J20">
        <v>0</v>
      </c>
      <c r="K20">
        <v>18</v>
      </c>
      <c r="L20">
        <v>0</v>
      </c>
      <c r="M20">
        <v>0</v>
      </c>
      <c r="N20">
        <v>23</v>
      </c>
      <c r="O20">
        <v>0</v>
      </c>
      <c r="P20">
        <v>0</v>
      </c>
      <c r="Q20">
        <v>0</v>
      </c>
      <c r="R20">
        <v>25</v>
      </c>
      <c r="S20">
        <v>0</v>
      </c>
      <c r="T20">
        <v>0</v>
      </c>
      <c r="U20">
        <v>47</v>
      </c>
      <c r="V20">
        <v>0</v>
      </c>
      <c r="W20">
        <v>0</v>
      </c>
      <c r="X20">
        <v>1</v>
      </c>
      <c r="Y20">
        <v>4</v>
      </c>
      <c r="Z20">
        <v>0</v>
      </c>
      <c r="AA20">
        <v>0</v>
      </c>
      <c r="AB20">
        <v>1</v>
      </c>
      <c r="AC20">
        <v>0</v>
      </c>
      <c r="AD20">
        <v>0</v>
      </c>
      <c r="AE20" s="1">
        <v>1</v>
      </c>
      <c r="AF20">
        <v>0</v>
      </c>
      <c r="AG20">
        <v>1</v>
      </c>
      <c r="AH20">
        <v>1</v>
      </c>
      <c r="AI20">
        <v>0</v>
      </c>
      <c r="AJ20">
        <v>2</v>
      </c>
    </row>
    <row r="21" spans="1:36" x14ac:dyDescent="0.2">
      <c r="A21" s="3" t="s">
        <v>78</v>
      </c>
      <c r="B21" s="3" t="s">
        <v>102</v>
      </c>
      <c r="C21" s="3" t="s">
        <v>91</v>
      </c>
      <c r="D21">
        <f t="shared" si="1"/>
        <v>65</v>
      </c>
      <c r="E21" s="3" t="s">
        <v>1</v>
      </c>
      <c r="F21">
        <f t="shared" si="0"/>
        <v>179</v>
      </c>
      <c r="G21">
        <v>45</v>
      </c>
      <c r="H21">
        <v>9</v>
      </c>
      <c r="I21">
        <v>1</v>
      </c>
      <c r="J21">
        <v>0</v>
      </c>
      <c r="K21">
        <v>18</v>
      </c>
      <c r="L21">
        <v>0</v>
      </c>
      <c r="M21">
        <v>0</v>
      </c>
      <c r="N21">
        <v>23</v>
      </c>
      <c r="O21">
        <v>0</v>
      </c>
      <c r="P21">
        <v>0</v>
      </c>
      <c r="Q21">
        <v>0</v>
      </c>
      <c r="R21">
        <v>25</v>
      </c>
      <c r="S21">
        <v>0</v>
      </c>
      <c r="T21">
        <v>0</v>
      </c>
      <c r="U21">
        <v>47</v>
      </c>
      <c r="V21">
        <v>0</v>
      </c>
      <c r="W21">
        <v>0</v>
      </c>
      <c r="X21">
        <v>1</v>
      </c>
      <c r="Y21">
        <v>4</v>
      </c>
      <c r="Z21">
        <v>0</v>
      </c>
      <c r="AA21">
        <v>0</v>
      </c>
      <c r="AB21">
        <v>1</v>
      </c>
      <c r="AC21">
        <v>0</v>
      </c>
      <c r="AD21">
        <v>0</v>
      </c>
      <c r="AE21" s="1">
        <v>1</v>
      </c>
      <c r="AF21">
        <v>0</v>
      </c>
      <c r="AG21">
        <v>1</v>
      </c>
      <c r="AH21">
        <v>1</v>
      </c>
      <c r="AI21">
        <v>0</v>
      </c>
      <c r="AJ21">
        <v>2</v>
      </c>
    </row>
    <row r="22" spans="1:36" x14ac:dyDescent="0.2">
      <c r="A22" s="3" t="s">
        <v>18</v>
      </c>
      <c r="B22" s="3" t="s">
        <v>102</v>
      </c>
      <c r="C22" s="3" t="s">
        <v>91</v>
      </c>
      <c r="D22">
        <f t="shared" si="1"/>
        <v>65</v>
      </c>
      <c r="E22" t="s">
        <v>1</v>
      </c>
      <c r="F22">
        <f t="shared" si="0"/>
        <v>179</v>
      </c>
      <c r="G22">
        <v>45</v>
      </c>
      <c r="H22">
        <v>9</v>
      </c>
      <c r="I22">
        <v>0</v>
      </c>
      <c r="J22">
        <v>0</v>
      </c>
      <c r="K22">
        <v>18</v>
      </c>
      <c r="L22">
        <v>0</v>
      </c>
      <c r="M22">
        <v>0</v>
      </c>
      <c r="N22">
        <v>23</v>
      </c>
      <c r="O22">
        <v>0</v>
      </c>
      <c r="P22">
        <v>1</v>
      </c>
      <c r="Q22">
        <v>0</v>
      </c>
      <c r="R22">
        <v>25</v>
      </c>
      <c r="S22">
        <v>0</v>
      </c>
      <c r="T22">
        <v>0</v>
      </c>
      <c r="U22">
        <v>47</v>
      </c>
      <c r="V22">
        <v>0</v>
      </c>
      <c r="W22">
        <v>0</v>
      </c>
      <c r="X22">
        <v>1</v>
      </c>
      <c r="Y22">
        <v>4</v>
      </c>
      <c r="Z22">
        <v>0</v>
      </c>
      <c r="AA22">
        <v>0</v>
      </c>
      <c r="AB22">
        <v>1</v>
      </c>
      <c r="AC22">
        <v>0</v>
      </c>
      <c r="AD22">
        <v>0</v>
      </c>
      <c r="AE22" s="1">
        <v>1</v>
      </c>
      <c r="AF22">
        <v>0</v>
      </c>
      <c r="AG22">
        <v>1</v>
      </c>
      <c r="AH22">
        <v>1</v>
      </c>
      <c r="AI22">
        <v>0</v>
      </c>
      <c r="AJ22">
        <v>2</v>
      </c>
    </row>
    <row r="23" spans="1:36" x14ac:dyDescent="0.2">
      <c r="A23" s="3" t="s">
        <v>19</v>
      </c>
      <c r="B23" s="3" t="s">
        <v>102</v>
      </c>
      <c r="C23" s="3" t="s">
        <v>91</v>
      </c>
      <c r="D23">
        <f t="shared" si="1"/>
        <v>65</v>
      </c>
      <c r="E23" t="s">
        <v>1</v>
      </c>
      <c r="F23">
        <f t="shared" si="0"/>
        <v>179</v>
      </c>
      <c r="G23">
        <v>45</v>
      </c>
      <c r="H23">
        <v>9</v>
      </c>
      <c r="I23">
        <v>0</v>
      </c>
      <c r="J23">
        <v>0</v>
      </c>
      <c r="K23">
        <v>18</v>
      </c>
      <c r="L23">
        <v>0</v>
      </c>
      <c r="M23">
        <v>0</v>
      </c>
      <c r="N23">
        <v>23</v>
      </c>
      <c r="O23">
        <v>0</v>
      </c>
      <c r="P23">
        <v>1</v>
      </c>
      <c r="Q23">
        <v>0</v>
      </c>
      <c r="R23">
        <v>24</v>
      </c>
      <c r="S23">
        <v>0</v>
      </c>
      <c r="T23">
        <v>0</v>
      </c>
      <c r="U23">
        <v>47</v>
      </c>
      <c r="V23">
        <v>0</v>
      </c>
      <c r="W23">
        <v>0</v>
      </c>
      <c r="X23">
        <v>1</v>
      </c>
      <c r="Y23">
        <v>4</v>
      </c>
      <c r="Z23">
        <v>0</v>
      </c>
      <c r="AA23">
        <v>0</v>
      </c>
      <c r="AB23">
        <v>1</v>
      </c>
      <c r="AC23">
        <v>0</v>
      </c>
      <c r="AD23">
        <v>0</v>
      </c>
      <c r="AE23" s="1">
        <v>1</v>
      </c>
      <c r="AF23">
        <v>0</v>
      </c>
      <c r="AG23">
        <v>1</v>
      </c>
      <c r="AH23">
        <v>1</v>
      </c>
      <c r="AI23">
        <v>0</v>
      </c>
      <c r="AJ23">
        <v>3</v>
      </c>
    </row>
    <row r="24" spans="1:36" x14ac:dyDescent="0.2">
      <c r="A24" s="3" t="s">
        <v>20</v>
      </c>
      <c r="B24" s="3" t="s">
        <v>102</v>
      </c>
      <c r="C24" s="3" t="s">
        <v>91</v>
      </c>
      <c r="D24">
        <f t="shared" si="1"/>
        <v>64</v>
      </c>
      <c r="E24" t="s">
        <v>1</v>
      </c>
      <c r="F24">
        <f t="shared" si="0"/>
        <v>179</v>
      </c>
      <c r="G24">
        <v>45</v>
      </c>
      <c r="H24">
        <v>9</v>
      </c>
      <c r="I24">
        <v>0</v>
      </c>
      <c r="J24">
        <v>0</v>
      </c>
      <c r="K24">
        <v>17</v>
      </c>
      <c r="L24">
        <v>0</v>
      </c>
      <c r="M24">
        <v>0</v>
      </c>
      <c r="N24">
        <v>23</v>
      </c>
      <c r="O24">
        <v>0</v>
      </c>
      <c r="P24">
        <v>1</v>
      </c>
      <c r="Q24">
        <v>1</v>
      </c>
      <c r="R24">
        <v>24</v>
      </c>
      <c r="S24">
        <v>0</v>
      </c>
      <c r="T24">
        <v>0</v>
      </c>
      <c r="U24">
        <v>47</v>
      </c>
      <c r="V24">
        <v>0</v>
      </c>
      <c r="W24">
        <v>0</v>
      </c>
      <c r="X24">
        <v>1</v>
      </c>
      <c r="Y24">
        <v>4</v>
      </c>
      <c r="Z24">
        <v>0</v>
      </c>
      <c r="AA24">
        <v>1</v>
      </c>
      <c r="AB24">
        <v>1</v>
      </c>
      <c r="AC24">
        <v>0</v>
      </c>
      <c r="AD24">
        <v>0</v>
      </c>
      <c r="AE24" s="1">
        <v>1</v>
      </c>
      <c r="AF24">
        <v>0</v>
      </c>
      <c r="AG24">
        <v>1</v>
      </c>
      <c r="AH24">
        <v>1</v>
      </c>
      <c r="AI24">
        <v>0</v>
      </c>
      <c r="AJ24">
        <v>2</v>
      </c>
    </row>
    <row r="25" spans="1:36" x14ac:dyDescent="0.2">
      <c r="A25" s="3" t="s">
        <v>21</v>
      </c>
      <c r="B25" s="3" t="s">
        <v>102</v>
      </c>
      <c r="C25" s="3" t="s">
        <v>91</v>
      </c>
      <c r="D25">
        <f t="shared" si="1"/>
        <v>64</v>
      </c>
      <c r="E25" t="s">
        <v>1</v>
      </c>
      <c r="F25">
        <f t="shared" si="0"/>
        <v>179</v>
      </c>
      <c r="G25">
        <v>45</v>
      </c>
      <c r="H25">
        <v>9</v>
      </c>
      <c r="I25">
        <v>0</v>
      </c>
      <c r="J25">
        <v>0</v>
      </c>
      <c r="K25">
        <v>17</v>
      </c>
      <c r="L25">
        <v>0</v>
      </c>
      <c r="M25">
        <v>0</v>
      </c>
      <c r="N25">
        <v>23</v>
      </c>
      <c r="O25">
        <v>0</v>
      </c>
      <c r="P25">
        <v>1</v>
      </c>
      <c r="Q25">
        <v>1</v>
      </c>
      <c r="R25">
        <v>24</v>
      </c>
      <c r="S25">
        <v>0</v>
      </c>
      <c r="T25">
        <v>0</v>
      </c>
      <c r="U25">
        <v>47</v>
      </c>
      <c r="V25">
        <v>0</v>
      </c>
      <c r="W25">
        <v>0</v>
      </c>
      <c r="X25">
        <v>1</v>
      </c>
      <c r="Y25">
        <v>4</v>
      </c>
      <c r="Z25">
        <v>0</v>
      </c>
      <c r="AA25">
        <v>0</v>
      </c>
      <c r="AB25">
        <v>1</v>
      </c>
      <c r="AC25">
        <v>0</v>
      </c>
      <c r="AD25">
        <v>0</v>
      </c>
      <c r="AE25" s="1">
        <v>1</v>
      </c>
      <c r="AF25">
        <v>0</v>
      </c>
      <c r="AG25">
        <v>1</v>
      </c>
      <c r="AH25">
        <v>1</v>
      </c>
      <c r="AI25">
        <v>0</v>
      </c>
      <c r="AJ25">
        <v>3</v>
      </c>
    </row>
    <row r="26" spans="1:36" x14ac:dyDescent="0.2">
      <c r="A26" s="3" t="s">
        <v>22</v>
      </c>
      <c r="B26" s="3" t="s">
        <v>102</v>
      </c>
      <c r="C26" s="3" t="s">
        <v>91</v>
      </c>
      <c r="D26">
        <f t="shared" si="1"/>
        <v>65</v>
      </c>
      <c r="E26" t="s">
        <v>1</v>
      </c>
      <c r="F26">
        <f t="shared" si="0"/>
        <v>179</v>
      </c>
      <c r="G26">
        <v>45</v>
      </c>
      <c r="H26">
        <v>9</v>
      </c>
      <c r="I26">
        <v>0</v>
      </c>
      <c r="J26">
        <v>0</v>
      </c>
      <c r="K26">
        <v>18</v>
      </c>
      <c r="L26">
        <v>0</v>
      </c>
      <c r="M26">
        <v>0</v>
      </c>
      <c r="N26">
        <v>23</v>
      </c>
      <c r="O26">
        <v>0</v>
      </c>
      <c r="P26">
        <v>1</v>
      </c>
      <c r="Q26">
        <v>1</v>
      </c>
      <c r="R26">
        <v>24</v>
      </c>
      <c r="S26">
        <v>0</v>
      </c>
      <c r="T26">
        <v>0</v>
      </c>
      <c r="U26">
        <v>47</v>
      </c>
      <c r="V26">
        <v>0</v>
      </c>
      <c r="W26">
        <v>0</v>
      </c>
      <c r="X26">
        <v>1</v>
      </c>
      <c r="Y26">
        <v>4</v>
      </c>
      <c r="Z26">
        <v>0</v>
      </c>
      <c r="AA26">
        <v>1</v>
      </c>
      <c r="AB26">
        <v>1</v>
      </c>
      <c r="AC26">
        <v>0</v>
      </c>
      <c r="AD26">
        <v>0</v>
      </c>
      <c r="AE26" s="1">
        <v>1</v>
      </c>
      <c r="AF26">
        <v>0</v>
      </c>
      <c r="AG26">
        <v>1</v>
      </c>
      <c r="AH26">
        <v>1</v>
      </c>
      <c r="AI26">
        <v>0</v>
      </c>
      <c r="AJ26">
        <v>1</v>
      </c>
    </row>
    <row r="27" spans="1:36" x14ac:dyDescent="0.2">
      <c r="A27" s="3" t="s">
        <v>23</v>
      </c>
      <c r="B27" s="3" t="s">
        <v>102</v>
      </c>
      <c r="C27" s="3" t="s">
        <v>91</v>
      </c>
      <c r="D27">
        <f t="shared" si="1"/>
        <v>55</v>
      </c>
      <c r="E27" t="s">
        <v>0</v>
      </c>
      <c r="F27">
        <f t="shared" si="0"/>
        <v>179</v>
      </c>
      <c r="G27">
        <v>44</v>
      </c>
      <c r="H27">
        <v>17</v>
      </c>
      <c r="I27">
        <v>0</v>
      </c>
      <c r="J27">
        <v>0</v>
      </c>
      <c r="K27">
        <v>8</v>
      </c>
      <c r="L27">
        <v>0</v>
      </c>
      <c r="M27">
        <v>0</v>
      </c>
      <c r="N27">
        <v>16</v>
      </c>
      <c r="O27">
        <v>0</v>
      </c>
      <c r="P27">
        <v>9</v>
      </c>
      <c r="Q27">
        <v>0</v>
      </c>
      <c r="R27">
        <v>22</v>
      </c>
      <c r="S27">
        <v>0</v>
      </c>
      <c r="T27">
        <v>0</v>
      </c>
      <c r="U27">
        <v>47</v>
      </c>
      <c r="V27">
        <v>0</v>
      </c>
      <c r="W27">
        <v>0</v>
      </c>
      <c r="X27">
        <v>0</v>
      </c>
      <c r="Y27">
        <v>12</v>
      </c>
      <c r="Z27">
        <v>0</v>
      </c>
      <c r="AA27">
        <v>0</v>
      </c>
      <c r="AB27">
        <v>1</v>
      </c>
      <c r="AC27">
        <v>0</v>
      </c>
      <c r="AD27">
        <v>1</v>
      </c>
      <c r="AE27" s="1">
        <v>0</v>
      </c>
      <c r="AF27">
        <v>0</v>
      </c>
      <c r="AG27">
        <v>1</v>
      </c>
      <c r="AH27">
        <v>1</v>
      </c>
      <c r="AI27">
        <v>0</v>
      </c>
      <c r="AJ27">
        <v>0</v>
      </c>
    </row>
    <row r="28" spans="1:36" x14ac:dyDescent="0.2">
      <c r="A28" s="3" t="s">
        <v>79</v>
      </c>
      <c r="B28" s="3" t="s">
        <v>97</v>
      </c>
      <c r="C28" s="3" t="s">
        <v>90</v>
      </c>
      <c r="D28">
        <f>SUM(G28+H28+N28)</f>
        <v>77</v>
      </c>
      <c r="E28" s="3" t="s">
        <v>1</v>
      </c>
      <c r="F28">
        <f t="shared" si="0"/>
        <v>179</v>
      </c>
      <c r="G28">
        <v>44</v>
      </c>
      <c r="H28">
        <v>17</v>
      </c>
      <c r="I28">
        <v>0</v>
      </c>
      <c r="J28">
        <v>0</v>
      </c>
      <c r="K28">
        <v>8</v>
      </c>
      <c r="L28">
        <v>0</v>
      </c>
      <c r="M28">
        <v>0</v>
      </c>
      <c r="N28">
        <v>16</v>
      </c>
      <c r="O28">
        <v>0</v>
      </c>
      <c r="P28">
        <v>9</v>
      </c>
      <c r="Q28">
        <v>0</v>
      </c>
      <c r="R28">
        <v>22</v>
      </c>
      <c r="S28">
        <v>0</v>
      </c>
      <c r="T28">
        <v>0</v>
      </c>
      <c r="U28">
        <v>47</v>
      </c>
      <c r="V28">
        <v>0</v>
      </c>
      <c r="W28">
        <v>0</v>
      </c>
      <c r="X28">
        <v>0</v>
      </c>
      <c r="Y28">
        <v>12</v>
      </c>
      <c r="Z28">
        <v>0</v>
      </c>
      <c r="AA28">
        <v>0</v>
      </c>
      <c r="AB28">
        <v>1</v>
      </c>
      <c r="AC28">
        <v>0</v>
      </c>
      <c r="AD28">
        <v>1</v>
      </c>
      <c r="AE28" s="1">
        <v>0</v>
      </c>
      <c r="AF28">
        <v>0</v>
      </c>
      <c r="AG28">
        <v>1</v>
      </c>
      <c r="AH28">
        <v>1</v>
      </c>
      <c r="AI28">
        <v>0</v>
      </c>
      <c r="AJ28">
        <v>0</v>
      </c>
    </row>
    <row r="29" spans="1:36" x14ac:dyDescent="0.2">
      <c r="A29" s="3" t="s">
        <v>24</v>
      </c>
      <c r="B29" s="3" t="s">
        <v>97</v>
      </c>
      <c r="C29" s="3" t="s">
        <v>90</v>
      </c>
      <c r="D29">
        <f t="shared" ref="D29:D30" si="4">SUM(G29+H29+N29)</f>
        <v>76</v>
      </c>
      <c r="E29" t="s">
        <v>1</v>
      </c>
      <c r="F29">
        <f t="shared" si="0"/>
        <v>179</v>
      </c>
      <c r="G29">
        <v>44</v>
      </c>
      <c r="H29">
        <v>16</v>
      </c>
      <c r="I29">
        <v>0</v>
      </c>
      <c r="J29">
        <v>0</v>
      </c>
      <c r="K29">
        <v>8</v>
      </c>
      <c r="L29">
        <v>0</v>
      </c>
      <c r="M29">
        <v>0</v>
      </c>
      <c r="N29">
        <v>16</v>
      </c>
      <c r="O29">
        <v>0</v>
      </c>
      <c r="P29">
        <v>9</v>
      </c>
      <c r="Q29">
        <v>0</v>
      </c>
      <c r="R29">
        <v>22</v>
      </c>
      <c r="S29">
        <v>0</v>
      </c>
      <c r="T29">
        <v>0</v>
      </c>
      <c r="U29">
        <v>47</v>
      </c>
      <c r="V29">
        <v>0</v>
      </c>
      <c r="W29">
        <v>0</v>
      </c>
      <c r="X29">
        <v>0</v>
      </c>
      <c r="Y29">
        <v>12</v>
      </c>
      <c r="Z29">
        <v>1</v>
      </c>
      <c r="AA29">
        <v>0</v>
      </c>
      <c r="AB29">
        <v>1</v>
      </c>
      <c r="AC29">
        <v>0</v>
      </c>
      <c r="AD29">
        <v>1</v>
      </c>
      <c r="AE29" s="1">
        <v>0</v>
      </c>
      <c r="AF29">
        <v>0</v>
      </c>
      <c r="AG29">
        <v>1</v>
      </c>
      <c r="AH29">
        <v>1</v>
      </c>
      <c r="AI29">
        <v>0</v>
      </c>
      <c r="AJ29">
        <v>0</v>
      </c>
    </row>
    <row r="30" spans="1:36" x14ac:dyDescent="0.2">
      <c r="A30" s="3" t="s">
        <v>25</v>
      </c>
      <c r="B30" s="3" t="s">
        <v>97</v>
      </c>
      <c r="C30" s="3" t="s">
        <v>90</v>
      </c>
      <c r="D30">
        <f t="shared" si="4"/>
        <v>76</v>
      </c>
      <c r="E30" t="s">
        <v>1</v>
      </c>
      <c r="F30">
        <f t="shared" si="0"/>
        <v>179</v>
      </c>
      <c r="G30">
        <v>45</v>
      </c>
      <c r="H30">
        <v>16</v>
      </c>
      <c r="I30">
        <v>0</v>
      </c>
      <c r="J30">
        <v>0</v>
      </c>
      <c r="K30">
        <v>8</v>
      </c>
      <c r="L30">
        <v>0</v>
      </c>
      <c r="M30">
        <v>0</v>
      </c>
      <c r="N30">
        <v>15</v>
      </c>
      <c r="O30">
        <v>0</v>
      </c>
      <c r="P30">
        <v>9</v>
      </c>
      <c r="Q30">
        <v>0</v>
      </c>
      <c r="R30">
        <v>22</v>
      </c>
      <c r="S30">
        <v>0</v>
      </c>
      <c r="T30">
        <v>0</v>
      </c>
      <c r="U30">
        <v>47</v>
      </c>
      <c r="V30">
        <v>0</v>
      </c>
      <c r="W30">
        <v>0</v>
      </c>
      <c r="X30">
        <v>0</v>
      </c>
      <c r="Y30">
        <v>12</v>
      </c>
      <c r="Z30">
        <v>1</v>
      </c>
      <c r="AA30">
        <v>0</v>
      </c>
      <c r="AB30">
        <v>1</v>
      </c>
      <c r="AC30">
        <v>0</v>
      </c>
      <c r="AD30">
        <v>1</v>
      </c>
      <c r="AE30" s="1">
        <v>0</v>
      </c>
      <c r="AF30">
        <v>0</v>
      </c>
      <c r="AG30">
        <v>1</v>
      </c>
      <c r="AH30">
        <v>1</v>
      </c>
      <c r="AI30">
        <v>0</v>
      </c>
      <c r="AJ30">
        <v>0</v>
      </c>
    </row>
    <row r="31" spans="1:36" x14ac:dyDescent="0.2">
      <c r="A31" s="3" t="s">
        <v>80</v>
      </c>
      <c r="B31" s="3" t="s">
        <v>96</v>
      </c>
      <c r="C31" s="3" t="s">
        <v>89</v>
      </c>
      <c r="D31">
        <f>SUM(G31+H31)</f>
        <v>61</v>
      </c>
      <c r="E31" s="3" t="s">
        <v>1</v>
      </c>
      <c r="F31">
        <f t="shared" si="0"/>
        <v>179</v>
      </c>
      <c r="G31">
        <v>45</v>
      </c>
      <c r="H31">
        <v>16</v>
      </c>
      <c r="I31">
        <v>0</v>
      </c>
      <c r="J31">
        <v>0</v>
      </c>
      <c r="K31">
        <v>8</v>
      </c>
      <c r="L31">
        <v>0</v>
      </c>
      <c r="M31">
        <v>0</v>
      </c>
      <c r="N31">
        <v>15</v>
      </c>
      <c r="O31">
        <v>0</v>
      </c>
      <c r="P31">
        <v>9</v>
      </c>
      <c r="Q31">
        <v>0</v>
      </c>
      <c r="R31">
        <v>22</v>
      </c>
      <c r="S31">
        <v>0</v>
      </c>
      <c r="T31">
        <v>0</v>
      </c>
      <c r="U31">
        <v>47</v>
      </c>
      <c r="V31">
        <v>0</v>
      </c>
      <c r="W31">
        <v>0</v>
      </c>
      <c r="X31">
        <v>0</v>
      </c>
      <c r="Y31">
        <v>12</v>
      </c>
      <c r="Z31">
        <v>1</v>
      </c>
      <c r="AA31">
        <v>0</v>
      </c>
      <c r="AB31">
        <v>1</v>
      </c>
      <c r="AC31">
        <v>0</v>
      </c>
      <c r="AD31">
        <v>1</v>
      </c>
      <c r="AE31" s="1">
        <v>0</v>
      </c>
      <c r="AF31">
        <v>0</v>
      </c>
      <c r="AG31">
        <v>1</v>
      </c>
      <c r="AH31">
        <v>1</v>
      </c>
      <c r="AI31">
        <v>0</v>
      </c>
      <c r="AJ31">
        <v>0</v>
      </c>
    </row>
    <row r="32" spans="1:36" x14ac:dyDescent="0.2">
      <c r="A32" s="3" t="s">
        <v>26</v>
      </c>
      <c r="B32" s="3" t="s">
        <v>96</v>
      </c>
      <c r="C32" s="3" t="s">
        <v>89</v>
      </c>
      <c r="D32">
        <f t="shared" ref="D32:D33" si="5">SUM(G32+H32)</f>
        <v>63</v>
      </c>
      <c r="E32" t="s">
        <v>1</v>
      </c>
      <c r="F32">
        <f t="shared" si="0"/>
        <v>179</v>
      </c>
      <c r="G32">
        <v>46</v>
      </c>
      <c r="H32">
        <v>17</v>
      </c>
      <c r="I32">
        <v>0</v>
      </c>
      <c r="J32">
        <v>0</v>
      </c>
      <c r="K32">
        <v>8</v>
      </c>
      <c r="L32">
        <v>0</v>
      </c>
      <c r="M32">
        <v>0</v>
      </c>
      <c r="N32">
        <v>13</v>
      </c>
      <c r="O32">
        <v>0</v>
      </c>
      <c r="P32">
        <v>9</v>
      </c>
      <c r="Q32">
        <v>0</v>
      </c>
      <c r="R32">
        <v>22</v>
      </c>
      <c r="S32">
        <v>0</v>
      </c>
      <c r="T32">
        <v>0</v>
      </c>
      <c r="U32">
        <v>47</v>
      </c>
      <c r="V32">
        <v>0</v>
      </c>
      <c r="W32">
        <v>0</v>
      </c>
      <c r="X32">
        <v>0</v>
      </c>
      <c r="Y32">
        <v>12</v>
      </c>
      <c r="Z32">
        <v>1</v>
      </c>
      <c r="AA32">
        <v>0</v>
      </c>
      <c r="AB32">
        <v>1</v>
      </c>
      <c r="AC32">
        <v>0</v>
      </c>
      <c r="AD32">
        <v>1</v>
      </c>
      <c r="AE32" s="1">
        <v>0</v>
      </c>
      <c r="AF32">
        <v>0</v>
      </c>
      <c r="AG32">
        <v>1</v>
      </c>
      <c r="AH32">
        <v>1</v>
      </c>
      <c r="AI32">
        <v>0</v>
      </c>
      <c r="AJ32">
        <v>0</v>
      </c>
    </row>
    <row r="33" spans="1:36" x14ac:dyDescent="0.2">
      <c r="A33" s="3" t="s">
        <v>27</v>
      </c>
      <c r="B33" s="3" t="s">
        <v>96</v>
      </c>
      <c r="C33" s="3" t="s">
        <v>89</v>
      </c>
      <c r="D33">
        <f t="shared" si="5"/>
        <v>55</v>
      </c>
      <c r="E33" t="s">
        <v>0</v>
      </c>
      <c r="F33">
        <f t="shared" si="0"/>
        <v>179</v>
      </c>
      <c r="G33">
        <v>47</v>
      </c>
      <c r="H33">
        <v>8</v>
      </c>
      <c r="I33">
        <v>0</v>
      </c>
      <c r="J33">
        <v>0</v>
      </c>
      <c r="K33">
        <v>6</v>
      </c>
      <c r="L33">
        <v>0</v>
      </c>
      <c r="M33">
        <v>0</v>
      </c>
      <c r="N33">
        <v>7</v>
      </c>
      <c r="O33">
        <v>0</v>
      </c>
      <c r="P33">
        <v>13</v>
      </c>
      <c r="Q33">
        <v>0</v>
      </c>
      <c r="R33">
        <v>37</v>
      </c>
      <c r="S33">
        <v>0</v>
      </c>
      <c r="T33">
        <v>0</v>
      </c>
      <c r="U33">
        <v>34</v>
      </c>
      <c r="V33">
        <v>0</v>
      </c>
      <c r="W33">
        <v>0</v>
      </c>
      <c r="X33">
        <v>0</v>
      </c>
      <c r="Y33">
        <v>14</v>
      </c>
      <c r="Z33">
        <v>9</v>
      </c>
      <c r="AA33">
        <v>0</v>
      </c>
      <c r="AB33">
        <v>0</v>
      </c>
      <c r="AC33">
        <v>0</v>
      </c>
      <c r="AD33">
        <v>1</v>
      </c>
      <c r="AE33" s="1">
        <v>1</v>
      </c>
      <c r="AF33">
        <v>0</v>
      </c>
      <c r="AG33">
        <v>1</v>
      </c>
      <c r="AH33">
        <v>1</v>
      </c>
      <c r="AI33">
        <v>0</v>
      </c>
      <c r="AJ33">
        <v>0</v>
      </c>
    </row>
    <row r="34" spans="1:36" x14ac:dyDescent="0.2">
      <c r="A34" s="3" t="s">
        <v>81</v>
      </c>
      <c r="B34" s="3" t="s">
        <v>103</v>
      </c>
      <c r="C34" s="3" t="s">
        <v>88</v>
      </c>
      <c r="D34">
        <f>U34</f>
        <v>34</v>
      </c>
      <c r="E34" s="3" t="s">
        <v>1</v>
      </c>
      <c r="F34">
        <f t="shared" si="0"/>
        <v>179</v>
      </c>
      <c r="G34">
        <v>47</v>
      </c>
      <c r="H34">
        <v>8</v>
      </c>
      <c r="I34">
        <v>0</v>
      </c>
      <c r="J34">
        <v>0</v>
      </c>
      <c r="K34">
        <v>6</v>
      </c>
      <c r="L34">
        <v>0</v>
      </c>
      <c r="M34">
        <v>0</v>
      </c>
      <c r="N34">
        <v>7</v>
      </c>
      <c r="O34">
        <v>0</v>
      </c>
      <c r="P34">
        <v>13</v>
      </c>
      <c r="Q34">
        <v>0</v>
      </c>
      <c r="R34">
        <v>37</v>
      </c>
      <c r="S34">
        <v>0</v>
      </c>
      <c r="T34">
        <v>0</v>
      </c>
      <c r="U34">
        <v>34</v>
      </c>
      <c r="V34">
        <v>0</v>
      </c>
      <c r="W34">
        <v>0</v>
      </c>
      <c r="X34">
        <v>0</v>
      </c>
      <c r="Y34">
        <v>14</v>
      </c>
      <c r="Z34">
        <v>9</v>
      </c>
      <c r="AA34">
        <v>0</v>
      </c>
      <c r="AB34">
        <v>0</v>
      </c>
      <c r="AC34">
        <v>0</v>
      </c>
      <c r="AD34">
        <v>1</v>
      </c>
      <c r="AE34" s="1">
        <v>1</v>
      </c>
      <c r="AF34">
        <v>0</v>
      </c>
      <c r="AG34">
        <v>1</v>
      </c>
      <c r="AH34">
        <v>1</v>
      </c>
      <c r="AI34">
        <v>0</v>
      </c>
      <c r="AJ34">
        <v>0</v>
      </c>
    </row>
    <row r="35" spans="1:36" x14ac:dyDescent="0.2">
      <c r="A35" s="3" t="s">
        <v>28</v>
      </c>
      <c r="B35" s="3" t="s">
        <v>103</v>
      </c>
      <c r="C35" s="3" t="s">
        <v>88</v>
      </c>
      <c r="D35">
        <f t="shared" ref="D35:D36" si="6">U35</f>
        <v>34</v>
      </c>
      <c r="E35" t="s">
        <v>1</v>
      </c>
      <c r="F35">
        <f t="shared" si="0"/>
        <v>179</v>
      </c>
      <c r="G35">
        <v>46</v>
      </c>
      <c r="H35">
        <v>8</v>
      </c>
      <c r="I35">
        <v>0</v>
      </c>
      <c r="J35">
        <v>0</v>
      </c>
      <c r="K35">
        <v>6</v>
      </c>
      <c r="L35">
        <v>0</v>
      </c>
      <c r="M35">
        <v>0</v>
      </c>
      <c r="N35">
        <v>7</v>
      </c>
      <c r="O35">
        <v>0</v>
      </c>
      <c r="P35">
        <v>13</v>
      </c>
      <c r="Q35">
        <v>0</v>
      </c>
      <c r="R35">
        <v>37</v>
      </c>
      <c r="S35">
        <v>0</v>
      </c>
      <c r="T35">
        <v>0</v>
      </c>
      <c r="U35">
        <v>34</v>
      </c>
      <c r="V35">
        <v>0</v>
      </c>
      <c r="W35">
        <v>0</v>
      </c>
      <c r="X35">
        <v>0</v>
      </c>
      <c r="Y35">
        <v>14</v>
      </c>
      <c r="Z35">
        <v>10</v>
      </c>
      <c r="AA35">
        <v>0</v>
      </c>
      <c r="AB35">
        <v>0</v>
      </c>
      <c r="AC35">
        <v>0</v>
      </c>
      <c r="AD35">
        <v>1</v>
      </c>
      <c r="AE35" s="1">
        <v>1</v>
      </c>
      <c r="AF35">
        <v>0</v>
      </c>
      <c r="AG35">
        <v>1</v>
      </c>
      <c r="AH35">
        <v>1</v>
      </c>
      <c r="AI35">
        <v>0</v>
      </c>
      <c r="AJ35">
        <v>0</v>
      </c>
    </row>
    <row r="36" spans="1:36" x14ac:dyDescent="0.2">
      <c r="A36" s="3" t="s">
        <v>29</v>
      </c>
      <c r="B36" s="3" t="s">
        <v>103</v>
      </c>
      <c r="C36" s="3" t="s">
        <v>88</v>
      </c>
      <c r="D36">
        <f t="shared" si="6"/>
        <v>34</v>
      </c>
      <c r="E36" t="s">
        <v>1</v>
      </c>
      <c r="F36">
        <f t="shared" si="0"/>
        <v>179</v>
      </c>
      <c r="G36">
        <v>46</v>
      </c>
      <c r="H36">
        <v>8</v>
      </c>
      <c r="I36">
        <v>0</v>
      </c>
      <c r="J36">
        <v>0</v>
      </c>
      <c r="K36">
        <v>6</v>
      </c>
      <c r="L36">
        <v>0</v>
      </c>
      <c r="M36">
        <v>0</v>
      </c>
      <c r="N36">
        <v>7</v>
      </c>
      <c r="O36">
        <v>0</v>
      </c>
      <c r="P36">
        <v>13</v>
      </c>
      <c r="Q36">
        <v>0</v>
      </c>
      <c r="R36">
        <v>37</v>
      </c>
      <c r="S36">
        <v>0</v>
      </c>
      <c r="T36">
        <v>0</v>
      </c>
      <c r="U36">
        <v>34</v>
      </c>
      <c r="V36">
        <v>0</v>
      </c>
      <c r="W36">
        <v>0</v>
      </c>
      <c r="X36">
        <v>0</v>
      </c>
      <c r="Y36">
        <v>14</v>
      </c>
      <c r="Z36">
        <v>10</v>
      </c>
      <c r="AA36">
        <v>0</v>
      </c>
      <c r="AB36">
        <v>0</v>
      </c>
      <c r="AC36">
        <v>0</v>
      </c>
      <c r="AD36">
        <v>1</v>
      </c>
      <c r="AE36" s="1">
        <v>1</v>
      </c>
      <c r="AF36">
        <v>0</v>
      </c>
      <c r="AG36">
        <v>1</v>
      </c>
      <c r="AH36">
        <v>0</v>
      </c>
      <c r="AI36">
        <v>0</v>
      </c>
      <c r="AJ36">
        <v>1</v>
      </c>
    </row>
    <row r="37" spans="1:36" x14ac:dyDescent="0.2">
      <c r="A37" s="3" t="s">
        <v>82</v>
      </c>
      <c r="B37" s="3" t="s">
        <v>104</v>
      </c>
      <c r="C37" s="3" t="s">
        <v>87</v>
      </c>
      <c r="D37">
        <f>SUM(U37+P37+K37)</f>
        <v>53</v>
      </c>
      <c r="E37" s="3" t="s">
        <v>1</v>
      </c>
      <c r="F37">
        <f t="shared" si="0"/>
        <v>179</v>
      </c>
      <c r="G37">
        <v>46</v>
      </c>
      <c r="H37">
        <v>8</v>
      </c>
      <c r="I37">
        <v>0</v>
      </c>
      <c r="J37">
        <v>0</v>
      </c>
      <c r="K37">
        <v>6</v>
      </c>
      <c r="L37">
        <v>0</v>
      </c>
      <c r="M37">
        <v>0</v>
      </c>
      <c r="N37">
        <v>7</v>
      </c>
      <c r="O37">
        <v>0</v>
      </c>
      <c r="P37">
        <v>13</v>
      </c>
      <c r="Q37">
        <v>0</v>
      </c>
      <c r="R37">
        <v>37</v>
      </c>
      <c r="S37">
        <v>0</v>
      </c>
      <c r="T37">
        <v>0</v>
      </c>
      <c r="U37">
        <v>34</v>
      </c>
      <c r="V37">
        <v>0</v>
      </c>
      <c r="W37">
        <v>0</v>
      </c>
      <c r="X37">
        <v>0</v>
      </c>
      <c r="Y37">
        <v>14</v>
      </c>
      <c r="Z37">
        <v>10</v>
      </c>
      <c r="AA37">
        <v>0</v>
      </c>
      <c r="AB37">
        <v>0</v>
      </c>
      <c r="AC37">
        <v>0</v>
      </c>
      <c r="AD37">
        <v>1</v>
      </c>
      <c r="AE37" s="1">
        <v>1</v>
      </c>
      <c r="AF37">
        <v>0</v>
      </c>
      <c r="AG37">
        <v>1</v>
      </c>
      <c r="AH37">
        <v>0</v>
      </c>
      <c r="AI37">
        <v>0</v>
      </c>
      <c r="AJ37">
        <v>1</v>
      </c>
    </row>
    <row r="38" spans="1:36" x14ac:dyDescent="0.2">
      <c r="A38" s="3" t="s">
        <v>30</v>
      </c>
      <c r="B38" s="3" t="s">
        <v>104</v>
      </c>
      <c r="C38" s="3" t="s">
        <v>87</v>
      </c>
      <c r="D38">
        <f t="shared" ref="D38:D39" si="7">SUM(U38+P38+K38)</f>
        <v>53</v>
      </c>
      <c r="E38" t="s">
        <v>1</v>
      </c>
      <c r="F38">
        <f t="shared" si="0"/>
        <v>179</v>
      </c>
      <c r="G38">
        <v>46</v>
      </c>
      <c r="H38">
        <v>8</v>
      </c>
      <c r="I38">
        <v>0</v>
      </c>
      <c r="J38">
        <v>0</v>
      </c>
      <c r="K38">
        <v>6</v>
      </c>
      <c r="L38">
        <v>0</v>
      </c>
      <c r="M38">
        <v>0</v>
      </c>
      <c r="N38">
        <v>7</v>
      </c>
      <c r="O38">
        <v>0</v>
      </c>
      <c r="P38">
        <v>13</v>
      </c>
      <c r="Q38">
        <v>0</v>
      </c>
      <c r="R38">
        <v>37</v>
      </c>
      <c r="S38">
        <v>0</v>
      </c>
      <c r="T38">
        <v>0</v>
      </c>
      <c r="U38">
        <v>34</v>
      </c>
      <c r="V38">
        <v>0</v>
      </c>
      <c r="W38">
        <v>0</v>
      </c>
      <c r="X38">
        <v>0</v>
      </c>
      <c r="Y38">
        <v>14</v>
      </c>
      <c r="Z38">
        <v>10</v>
      </c>
      <c r="AA38">
        <v>0</v>
      </c>
      <c r="AB38">
        <v>0</v>
      </c>
      <c r="AC38">
        <v>0</v>
      </c>
      <c r="AD38">
        <v>1</v>
      </c>
      <c r="AE38" s="1">
        <v>1</v>
      </c>
      <c r="AF38">
        <v>0</v>
      </c>
      <c r="AG38">
        <v>1</v>
      </c>
      <c r="AH38">
        <v>0</v>
      </c>
      <c r="AI38">
        <v>1</v>
      </c>
      <c r="AJ38">
        <v>0</v>
      </c>
    </row>
    <row r="39" spans="1:36" x14ac:dyDescent="0.2">
      <c r="A39" s="3" t="s">
        <v>31</v>
      </c>
      <c r="B39" s="3" t="s">
        <v>104</v>
      </c>
      <c r="C39" s="3" t="s">
        <v>87</v>
      </c>
      <c r="D39">
        <f t="shared" si="7"/>
        <v>59</v>
      </c>
      <c r="E39" t="s">
        <v>0</v>
      </c>
      <c r="F39">
        <f t="shared" si="0"/>
        <v>179</v>
      </c>
      <c r="G39">
        <v>48</v>
      </c>
      <c r="H39">
        <v>16</v>
      </c>
      <c r="I39">
        <v>0</v>
      </c>
      <c r="J39">
        <v>0</v>
      </c>
      <c r="K39">
        <v>12</v>
      </c>
      <c r="L39">
        <v>4</v>
      </c>
      <c r="M39">
        <v>0</v>
      </c>
      <c r="N39">
        <v>14</v>
      </c>
      <c r="O39">
        <v>0</v>
      </c>
      <c r="P39">
        <v>4</v>
      </c>
      <c r="Q39">
        <v>0</v>
      </c>
      <c r="R39">
        <v>16</v>
      </c>
      <c r="S39">
        <v>0</v>
      </c>
      <c r="T39">
        <v>0</v>
      </c>
      <c r="U39">
        <v>43</v>
      </c>
      <c r="V39">
        <v>0</v>
      </c>
      <c r="W39">
        <v>0</v>
      </c>
      <c r="X39">
        <v>0</v>
      </c>
      <c r="Y39">
        <v>13</v>
      </c>
      <c r="Z39">
        <v>5</v>
      </c>
      <c r="AA39">
        <v>0</v>
      </c>
      <c r="AB39">
        <v>1</v>
      </c>
      <c r="AC39">
        <v>0</v>
      </c>
      <c r="AD39">
        <v>1</v>
      </c>
      <c r="AE39" s="1">
        <v>0</v>
      </c>
      <c r="AF39">
        <v>0</v>
      </c>
      <c r="AG39">
        <v>1</v>
      </c>
      <c r="AH39">
        <v>1</v>
      </c>
      <c r="AI39">
        <v>0</v>
      </c>
      <c r="AJ39">
        <v>0</v>
      </c>
    </row>
    <row r="40" spans="1:36" x14ac:dyDescent="0.2">
      <c r="A40" s="3" t="s">
        <v>83</v>
      </c>
      <c r="B40" s="3" t="s">
        <v>98</v>
      </c>
      <c r="C40" s="3" t="s">
        <v>86</v>
      </c>
      <c r="D40">
        <f>G40</f>
        <v>48</v>
      </c>
      <c r="E40" s="3" t="s">
        <v>1</v>
      </c>
      <c r="F40">
        <f t="shared" si="0"/>
        <v>179</v>
      </c>
      <c r="G40">
        <v>48</v>
      </c>
      <c r="H40">
        <v>16</v>
      </c>
      <c r="I40">
        <v>0</v>
      </c>
      <c r="J40">
        <v>0</v>
      </c>
      <c r="K40">
        <v>12</v>
      </c>
      <c r="L40">
        <v>4</v>
      </c>
      <c r="M40">
        <v>0</v>
      </c>
      <c r="N40">
        <v>14</v>
      </c>
      <c r="O40">
        <v>0</v>
      </c>
      <c r="P40">
        <v>4</v>
      </c>
      <c r="Q40">
        <v>0</v>
      </c>
      <c r="R40">
        <v>16</v>
      </c>
      <c r="S40">
        <v>0</v>
      </c>
      <c r="T40">
        <v>0</v>
      </c>
      <c r="U40">
        <v>43</v>
      </c>
      <c r="V40">
        <v>0</v>
      </c>
      <c r="W40">
        <v>0</v>
      </c>
      <c r="X40">
        <v>0</v>
      </c>
      <c r="Y40">
        <v>13</v>
      </c>
      <c r="Z40">
        <v>5</v>
      </c>
      <c r="AA40">
        <v>0</v>
      </c>
      <c r="AB40">
        <v>1</v>
      </c>
      <c r="AC40">
        <v>0</v>
      </c>
      <c r="AD40">
        <v>1</v>
      </c>
      <c r="AE40" s="1">
        <v>0</v>
      </c>
      <c r="AF40">
        <v>0</v>
      </c>
      <c r="AG40">
        <v>1</v>
      </c>
      <c r="AH40">
        <v>1</v>
      </c>
      <c r="AI40">
        <v>0</v>
      </c>
      <c r="AJ40">
        <v>0</v>
      </c>
    </row>
    <row r="41" spans="1:36" x14ac:dyDescent="0.2">
      <c r="A41" s="3" t="s">
        <v>32</v>
      </c>
      <c r="B41" s="3" t="s">
        <v>98</v>
      </c>
      <c r="C41" s="3" t="s">
        <v>86</v>
      </c>
      <c r="D41">
        <f t="shared" ref="D41:D64" si="8">G41</f>
        <v>48</v>
      </c>
      <c r="E41" t="s">
        <v>1</v>
      </c>
      <c r="F41">
        <f t="shared" si="0"/>
        <v>179</v>
      </c>
      <c r="G41">
        <v>48</v>
      </c>
      <c r="H41">
        <v>16</v>
      </c>
      <c r="I41">
        <v>0</v>
      </c>
      <c r="J41">
        <v>0</v>
      </c>
      <c r="K41">
        <v>12</v>
      </c>
      <c r="L41">
        <v>4</v>
      </c>
      <c r="M41">
        <v>1</v>
      </c>
      <c r="N41">
        <v>14</v>
      </c>
      <c r="O41">
        <v>0</v>
      </c>
      <c r="P41">
        <v>3</v>
      </c>
      <c r="Q41">
        <v>0</v>
      </c>
      <c r="R41">
        <v>16</v>
      </c>
      <c r="S41">
        <v>0</v>
      </c>
      <c r="T41">
        <v>0</v>
      </c>
      <c r="U41">
        <v>43</v>
      </c>
      <c r="V41">
        <v>0</v>
      </c>
      <c r="W41">
        <v>0</v>
      </c>
      <c r="X41">
        <v>0</v>
      </c>
      <c r="Y41">
        <v>13</v>
      </c>
      <c r="Z41">
        <v>5</v>
      </c>
      <c r="AA41">
        <v>0</v>
      </c>
      <c r="AB41">
        <v>1</v>
      </c>
      <c r="AC41">
        <v>0</v>
      </c>
      <c r="AD41">
        <v>1</v>
      </c>
      <c r="AE41" s="1">
        <v>0</v>
      </c>
      <c r="AF41">
        <v>0</v>
      </c>
      <c r="AG41">
        <v>1</v>
      </c>
      <c r="AH41">
        <v>1</v>
      </c>
      <c r="AI41">
        <v>0</v>
      </c>
      <c r="AJ41">
        <v>0</v>
      </c>
    </row>
    <row r="42" spans="1:36" x14ac:dyDescent="0.2">
      <c r="A42" s="3" t="s">
        <v>33</v>
      </c>
      <c r="B42" s="3" t="s">
        <v>98</v>
      </c>
      <c r="C42" s="3" t="s">
        <v>86</v>
      </c>
      <c r="D42">
        <f t="shared" si="8"/>
        <v>48</v>
      </c>
      <c r="E42" t="s">
        <v>1</v>
      </c>
      <c r="F42">
        <f t="shared" si="0"/>
        <v>179</v>
      </c>
      <c r="G42">
        <v>48</v>
      </c>
      <c r="H42">
        <v>16</v>
      </c>
      <c r="I42">
        <v>0</v>
      </c>
      <c r="J42">
        <v>0</v>
      </c>
      <c r="K42">
        <v>13</v>
      </c>
      <c r="L42">
        <v>4</v>
      </c>
      <c r="M42">
        <v>1</v>
      </c>
      <c r="N42">
        <v>14</v>
      </c>
      <c r="O42">
        <v>0</v>
      </c>
      <c r="P42">
        <v>3</v>
      </c>
      <c r="Q42">
        <v>0</v>
      </c>
      <c r="R42">
        <v>16</v>
      </c>
      <c r="S42">
        <v>0</v>
      </c>
      <c r="T42">
        <v>0</v>
      </c>
      <c r="U42">
        <v>42</v>
      </c>
      <c r="V42">
        <v>0</v>
      </c>
      <c r="W42">
        <v>0</v>
      </c>
      <c r="X42">
        <v>0</v>
      </c>
      <c r="Y42">
        <v>13</v>
      </c>
      <c r="Z42">
        <v>5</v>
      </c>
      <c r="AA42">
        <v>0</v>
      </c>
      <c r="AB42">
        <v>1</v>
      </c>
      <c r="AC42">
        <v>0</v>
      </c>
      <c r="AD42">
        <v>1</v>
      </c>
      <c r="AE42" s="1">
        <v>0</v>
      </c>
      <c r="AF42">
        <v>0</v>
      </c>
      <c r="AG42">
        <v>1</v>
      </c>
      <c r="AH42">
        <v>1</v>
      </c>
      <c r="AI42">
        <v>0</v>
      </c>
      <c r="AJ42">
        <v>0</v>
      </c>
    </row>
    <row r="43" spans="1:36" x14ac:dyDescent="0.2">
      <c r="A43" s="3" t="s">
        <v>34</v>
      </c>
      <c r="B43" s="3" t="s">
        <v>98</v>
      </c>
      <c r="C43" s="3" t="s">
        <v>86</v>
      </c>
      <c r="D43">
        <f t="shared" si="8"/>
        <v>48</v>
      </c>
      <c r="E43" t="s">
        <v>1</v>
      </c>
      <c r="F43">
        <f t="shared" ref="F43:F75" si="9">SUM(G43:AJ43)</f>
        <v>179</v>
      </c>
      <c r="G43">
        <v>48</v>
      </c>
      <c r="H43">
        <v>16</v>
      </c>
      <c r="I43">
        <v>0</v>
      </c>
      <c r="J43">
        <v>0</v>
      </c>
      <c r="K43">
        <v>13</v>
      </c>
      <c r="L43">
        <v>4</v>
      </c>
      <c r="M43">
        <v>1</v>
      </c>
      <c r="N43">
        <v>14</v>
      </c>
      <c r="O43">
        <v>0</v>
      </c>
      <c r="P43">
        <v>3</v>
      </c>
      <c r="Q43">
        <v>0</v>
      </c>
      <c r="R43">
        <v>16</v>
      </c>
      <c r="S43">
        <v>0</v>
      </c>
      <c r="T43">
        <v>0</v>
      </c>
      <c r="U43">
        <v>42</v>
      </c>
      <c r="V43">
        <v>0</v>
      </c>
      <c r="W43">
        <v>0</v>
      </c>
      <c r="X43">
        <v>0</v>
      </c>
      <c r="Y43">
        <v>13</v>
      </c>
      <c r="Z43">
        <v>1</v>
      </c>
      <c r="AA43">
        <v>0</v>
      </c>
      <c r="AB43">
        <v>1</v>
      </c>
      <c r="AC43">
        <v>0</v>
      </c>
      <c r="AD43">
        <v>1</v>
      </c>
      <c r="AE43" s="1">
        <v>0</v>
      </c>
      <c r="AF43">
        <v>0</v>
      </c>
      <c r="AG43">
        <v>1</v>
      </c>
      <c r="AH43">
        <v>1</v>
      </c>
      <c r="AI43">
        <v>0</v>
      </c>
      <c r="AJ43">
        <v>4</v>
      </c>
    </row>
    <row r="44" spans="1:36" x14ac:dyDescent="0.2">
      <c r="A44" s="3" t="s">
        <v>35</v>
      </c>
      <c r="B44" s="3" t="s">
        <v>98</v>
      </c>
      <c r="C44" s="3" t="s">
        <v>86</v>
      </c>
      <c r="D44">
        <f t="shared" si="8"/>
        <v>48</v>
      </c>
      <c r="E44" t="s">
        <v>1</v>
      </c>
      <c r="F44">
        <f t="shared" si="9"/>
        <v>179</v>
      </c>
      <c r="G44">
        <v>48</v>
      </c>
      <c r="H44">
        <v>16</v>
      </c>
      <c r="I44">
        <v>0</v>
      </c>
      <c r="J44">
        <v>0</v>
      </c>
      <c r="K44">
        <v>13</v>
      </c>
      <c r="L44">
        <v>4</v>
      </c>
      <c r="M44">
        <v>1</v>
      </c>
      <c r="N44">
        <v>15</v>
      </c>
      <c r="O44">
        <v>0</v>
      </c>
      <c r="P44">
        <v>3</v>
      </c>
      <c r="Q44">
        <v>0</v>
      </c>
      <c r="R44">
        <v>16</v>
      </c>
      <c r="S44">
        <v>0</v>
      </c>
      <c r="T44">
        <v>0</v>
      </c>
      <c r="U44">
        <v>42</v>
      </c>
      <c r="V44">
        <v>0</v>
      </c>
      <c r="W44">
        <v>0</v>
      </c>
      <c r="X44">
        <v>0</v>
      </c>
      <c r="Y44">
        <v>13</v>
      </c>
      <c r="Z44">
        <v>1</v>
      </c>
      <c r="AA44">
        <v>0</v>
      </c>
      <c r="AB44">
        <v>1</v>
      </c>
      <c r="AC44">
        <v>0</v>
      </c>
      <c r="AD44">
        <v>1</v>
      </c>
      <c r="AE44" s="1">
        <v>0</v>
      </c>
      <c r="AF44">
        <v>0</v>
      </c>
      <c r="AG44">
        <v>1</v>
      </c>
      <c r="AH44">
        <v>1</v>
      </c>
      <c r="AI44">
        <v>0</v>
      </c>
      <c r="AJ44">
        <v>3</v>
      </c>
    </row>
    <row r="45" spans="1:36" x14ac:dyDescent="0.2">
      <c r="A45" s="3" t="s">
        <v>36</v>
      </c>
      <c r="B45" s="3" t="s">
        <v>98</v>
      </c>
      <c r="C45" s="3" t="s">
        <v>86</v>
      </c>
      <c r="D45">
        <f t="shared" si="8"/>
        <v>48</v>
      </c>
      <c r="E45" t="s">
        <v>1</v>
      </c>
      <c r="F45">
        <f t="shared" si="9"/>
        <v>179</v>
      </c>
      <c r="G45">
        <v>48</v>
      </c>
      <c r="H45">
        <v>16</v>
      </c>
      <c r="I45">
        <v>0</v>
      </c>
      <c r="J45">
        <v>0</v>
      </c>
      <c r="K45">
        <v>13</v>
      </c>
      <c r="L45">
        <v>4</v>
      </c>
      <c r="M45">
        <v>1</v>
      </c>
      <c r="N45">
        <v>15</v>
      </c>
      <c r="O45">
        <v>0</v>
      </c>
      <c r="P45">
        <v>3</v>
      </c>
      <c r="Q45">
        <v>0</v>
      </c>
      <c r="R45">
        <v>16</v>
      </c>
      <c r="S45">
        <v>0</v>
      </c>
      <c r="T45">
        <v>0</v>
      </c>
      <c r="U45">
        <v>42</v>
      </c>
      <c r="V45">
        <v>3</v>
      </c>
      <c r="W45">
        <v>0</v>
      </c>
      <c r="X45">
        <v>0</v>
      </c>
      <c r="Y45">
        <v>13</v>
      </c>
      <c r="Z45">
        <v>1</v>
      </c>
      <c r="AA45">
        <v>0</v>
      </c>
      <c r="AB45">
        <v>1</v>
      </c>
      <c r="AC45">
        <v>0</v>
      </c>
      <c r="AD45">
        <v>1</v>
      </c>
      <c r="AE45" s="1">
        <v>0</v>
      </c>
      <c r="AF45">
        <v>0</v>
      </c>
      <c r="AG45">
        <v>1</v>
      </c>
      <c r="AH45">
        <v>1</v>
      </c>
      <c r="AI45">
        <v>0</v>
      </c>
      <c r="AJ45">
        <v>0</v>
      </c>
    </row>
    <row r="46" spans="1:36" x14ac:dyDescent="0.2">
      <c r="A46" s="3" t="s">
        <v>37</v>
      </c>
      <c r="B46" s="3" t="s">
        <v>98</v>
      </c>
      <c r="C46" s="3" t="s">
        <v>86</v>
      </c>
      <c r="D46">
        <f t="shared" si="8"/>
        <v>48</v>
      </c>
      <c r="E46" t="s">
        <v>1</v>
      </c>
      <c r="F46">
        <f t="shared" si="9"/>
        <v>179</v>
      </c>
      <c r="G46">
        <v>48</v>
      </c>
      <c r="H46">
        <v>16</v>
      </c>
      <c r="I46">
        <v>0</v>
      </c>
      <c r="J46">
        <v>0</v>
      </c>
      <c r="K46">
        <v>13</v>
      </c>
      <c r="L46">
        <v>4</v>
      </c>
      <c r="M46">
        <v>0</v>
      </c>
      <c r="N46">
        <v>15</v>
      </c>
      <c r="O46">
        <v>0</v>
      </c>
      <c r="P46">
        <v>3</v>
      </c>
      <c r="Q46">
        <v>0</v>
      </c>
      <c r="R46">
        <v>16</v>
      </c>
      <c r="S46">
        <v>0</v>
      </c>
      <c r="T46">
        <v>0</v>
      </c>
      <c r="U46">
        <v>42</v>
      </c>
      <c r="V46">
        <v>3</v>
      </c>
      <c r="W46">
        <v>0</v>
      </c>
      <c r="X46">
        <v>0</v>
      </c>
      <c r="Y46">
        <v>13</v>
      </c>
      <c r="Z46">
        <v>1</v>
      </c>
      <c r="AA46">
        <v>0</v>
      </c>
      <c r="AB46">
        <v>1</v>
      </c>
      <c r="AC46">
        <v>0</v>
      </c>
      <c r="AD46">
        <v>1</v>
      </c>
      <c r="AE46" s="1">
        <v>0</v>
      </c>
      <c r="AF46">
        <v>0</v>
      </c>
      <c r="AG46">
        <v>1</v>
      </c>
      <c r="AH46">
        <v>1</v>
      </c>
      <c r="AI46">
        <v>0</v>
      </c>
      <c r="AJ46">
        <v>1</v>
      </c>
    </row>
    <row r="47" spans="1:36" x14ac:dyDescent="0.2">
      <c r="A47" s="3" t="s">
        <v>38</v>
      </c>
      <c r="B47" s="3" t="s">
        <v>98</v>
      </c>
      <c r="C47" s="3" t="s">
        <v>86</v>
      </c>
      <c r="D47">
        <f t="shared" si="8"/>
        <v>48</v>
      </c>
      <c r="E47" t="s">
        <v>1</v>
      </c>
      <c r="F47">
        <f t="shared" si="9"/>
        <v>179</v>
      </c>
      <c r="G47">
        <v>48</v>
      </c>
      <c r="H47">
        <v>16</v>
      </c>
      <c r="I47">
        <v>0</v>
      </c>
      <c r="J47">
        <v>0</v>
      </c>
      <c r="K47">
        <v>12</v>
      </c>
      <c r="L47">
        <v>4</v>
      </c>
      <c r="M47">
        <v>0</v>
      </c>
      <c r="N47">
        <v>15</v>
      </c>
      <c r="O47">
        <v>0</v>
      </c>
      <c r="P47">
        <v>3</v>
      </c>
      <c r="Q47">
        <v>0</v>
      </c>
      <c r="R47">
        <v>16</v>
      </c>
      <c r="S47">
        <v>0</v>
      </c>
      <c r="T47">
        <v>0</v>
      </c>
      <c r="U47">
        <v>42</v>
      </c>
      <c r="V47">
        <v>3</v>
      </c>
      <c r="W47">
        <v>0</v>
      </c>
      <c r="X47">
        <v>0</v>
      </c>
      <c r="Y47">
        <v>13</v>
      </c>
      <c r="Z47">
        <v>1</v>
      </c>
      <c r="AA47">
        <v>0</v>
      </c>
      <c r="AB47">
        <v>1</v>
      </c>
      <c r="AC47">
        <v>0</v>
      </c>
      <c r="AD47">
        <v>1</v>
      </c>
      <c r="AE47" s="1">
        <v>0</v>
      </c>
      <c r="AF47">
        <v>0</v>
      </c>
      <c r="AG47">
        <v>1</v>
      </c>
      <c r="AH47">
        <v>1</v>
      </c>
      <c r="AI47">
        <v>0</v>
      </c>
      <c r="AJ47">
        <v>2</v>
      </c>
    </row>
    <row r="48" spans="1:36" x14ac:dyDescent="0.2">
      <c r="A48" s="3" t="s">
        <v>39</v>
      </c>
      <c r="B48" s="3" t="s">
        <v>98</v>
      </c>
      <c r="C48" s="3" t="s">
        <v>86</v>
      </c>
      <c r="D48">
        <f t="shared" si="8"/>
        <v>48</v>
      </c>
      <c r="E48" t="s">
        <v>1</v>
      </c>
      <c r="F48">
        <f t="shared" si="9"/>
        <v>179</v>
      </c>
      <c r="G48">
        <v>48</v>
      </c>
      <c r="H48">
        <v>16</v>
      </c>
      <c r="I48">
        <v>0</v>
      </c>
      <c r="J48">
        <v>0</v>
      </c>
      <c r="K48">
        <v>12</v>
      </c>
      <c r="L48">
        <v>4</v>
      </c>
      <c r="M48">
        <v>0</v>
      </c>
      <c r="N48">
        <v>15</v>
      </c>
      <c r="O48">
        <v>0</v>
      </c>
      <c r="P48">
        <v>3</v>
      </c>
      <c r="Q48">
        <v>0</v>
      </c>
      <c r="R48">
        <v>16</v>
      </c>
      <c r="S48">
        <v>0</v>
      </c>
      <c r="T48">
        <v>0</v>
      </c>
      <c r="U48">
        <v>41</v>
      </c>
      <c r="V48">
        <v>3</v>
      </c>
      <c r="W48">
        <v>0</v>
      </c>
      <c r="X48">
        <v>0</v>
      </c>
      <c r="Y48">
        <v>13</v>
      </c>
      <c r="Z48">
        <v>1</v>
      </c>
      <c r="AA48">
        <v>0</v>
      </c>
      <c r="AB48">
        <v>1</v>
      </c>
      <c r="AC48">
        <v>0</v>
      </c>
      <c r="AD48">
        <v>1</v>
      </c>
      <c r="AE48" s="1">
        <v>0</v>
      </c>
      <c r="AF48">
        <v>0</v>
      </c>
      <c r="AG48">
        <v>1</v>
      </c>
      <c r="AH48">
        <v>1</v>
      </c>
      <c r="AI48">
        <v>0</v>
      </c>
      <c r="AJ48">
        <v>3</v>
      </c>
    </row>
    <row r="49" spans="1:36" x14ac:dyDescent="0.2">
      <c r="A49" s="3" t="s">
        <v>40</v>
      </c>
      <c r="B49" s="3" t="s">
        <v>98</v>
      </c>
      <c r="C49" s="3" t="s">
        <v>86</v>
      </c>
      <c r="D49">
        <f t="shared" si="8"/>
        <v>48</v>
      </c>
      <c r="E49" t="s">
        <v>1</v>
      </c>
      <c r="F49">
        <f t="shared" si="9"/>
        <v>179</v>
      </c>
      <c r="G49">
        <v>48</v>
      </c>
      <c r="H49">
        <v>15</v>
      </c>
      <c r="I49">
        <v>0</v>
      </c>
      <c r="J49">
        <v>0</v>
      </c>
      <c r="K49">
        <v>12</v>
      </c>
      <c r="L49">
        <v>4</v>
      </c>
      <c r="M49">
        <v>0</v>
      </c>
      <c r="N49">
        <v>15</v>
      </c>
      <c r="O49">
        <v>0</v>
      </c>
      <c r="P49">
        <v>3</v>
      </c>
      <c r="Q49">
        <v>0</v>
      </c>
      <c r="R49">
        <v>16</v>
      </c>
      <c r="S49">
        <v>0</v>
      </c>
      <c r="T49">
        <v>0</v>
      </c>
      <c r="U49">
        <v>41</v>
      </c>
      <c r="V49">
        <v>3</v>
      </c>
      <c r="W49">
        <v>0</v>
      </c>
      <c r="X49">
        <v>0</v>
      </c>
      <c r="Y49">
        <v>13</v>
      </c>
      <c r="Z49">
        <v>1</v>
      </c>
      <c r="AA49">
        <v>0</v>
      </c>
      <c r="AB49">
        <v>1</v>
      </c>
      <c r="AC49">
        <v>0</v>
      </c>
      <c r="AD49">
        <v>1</v>
      </c>
      <c r="AE49" s="1">
        <v>0</v>
      </c>
      <c r="AF49">
        <v>0</v>
      </c>
      <c r="AG49">
        <v>1</v>
      </c>
      <c r="AH49">
        <v>1</v>
      </c>
      <c r="AI49">
        <v>0</v>
      </c>
      <c r="AJ49">
        <v>4</v>
      </c>
    </row>
    <row r="50" spans="1:36" x14ac:dyDescent="0.2">
      <c r="A50" s="3" t="s">
        <v>41</v>
      </c>
      <c r="B50" s="3" t="s">
        <v>98</v>
      </c>
      <c r="C50" s="3" t="s">
        <v>86</v>
      </c>
      <c r="D50">
        <f t="shared" si="8"/>
        <v>49</v>
      </c>
      <c r="E50" t="s">
        <v>1</v>
      </c>
      <c r="F50">
        <f t="shared" si="9"/>
        <v>179</v>
      </c>
      <c r="G50">
        <v>49</v>
      </c>
      <c r="H50">
        <v>14</v>
      </c>
      <c r="I50">
        <v>0</v>
      </c>
      <c r="J50">
        <v>0</v>
      </c>
      <c r="K50">
        <v>12</v>
      </c>
      <c r="L50">
        <v>4</v>
      </c>
      <c r="M50">
        <v>0</v>
      </c>
      <c r="N50">
        <v>15</v>
      </c>
      <c r="O50">
        <v>0</v>
      </c>
      <c r="P50">
        <v>3</v>
      </c>
      <c r="Q50">
        <v>0</v>
      </c>
      <c r="R50">
        <v>16</v>
      </c>
      <c r="S50">
        <v>0</v>
      </c>
      <c r="T50">
        <v>0</v>
      </c>
      <c r="U50">
        <v>41</v>
      </c>
      <c r="V50">
        <v>3</v>
      </c>
      <c r="W50">
        <v>0</v>
      </c>
      <c r="X50">
        <v>0</v>
      </c>
      <c r="Y50">
        <v>13</v>
      </c>
      <c r="Z50">
        <v>1</v>
      </c>
      <c r="AA50">
        <v>0</v>
      </c>
      <c r="AB50">
        <v>1</v>
      </c>
      <c r="AC50">
        <v>0</v>
      </c>
      <c r="AD50">
        <v>1</v>
      </c>
      <c r="AE50" s="1">
        <v>0</v>
      </c>
      <c r="AF50">
        <v>0</v>
      </c>
      <c r="AG50">
        <v>1</v>
      </c>
      <c r="AH50">
        <v>1</v>
      </c>
      <c r="AI50">
        <v>0</v>
      </c>
      <c r="AJ50">
        <v>4</v>
      </c>
    </row>
    <row r="51" spans="1:36" x14ac:dyDescent="0.2">
      <c r="A51" s="3" t="s">
        <v>42</v>
      </c>
      <c r="B51" s="3" t="s">
        <v>98</v>
      </c>
      <c r="C51" s="3" t="s">
        <v>86</v>
      </c>
      <c r="D51">
        <f t="shared" si="8"/>
        <v>49</v>
      </c>
      <c r="E51" t="s">
        <v>1</v>
      </c>
      <c r="F51">
        <f t="shared" si="9"/>
        <v>179</v>
      </c>
      <c r="G51">
        <v>49</v>
      </c>
      <c r="H51">
        <v>14</v>
      </c>
      <c r="I51">
        <v>0</v>
      </c>
      <c r="J51">
        <v>0</v>
      </c>
      <c r="K51">
        <v>12</v>
      </c>
      <c r="L51">
        <v>4</v>
      </c>
      <c r="M51">
        <v>0</v>
      </c>
      <c r="N51">
        <v>15</v>
      </c>
      <c r="O51">
        <v>0</v>
      </c>
      <c r="P51">
        <v>3</v>
      </c>
      <c r="Q51">
        <v>0</v>
      </c>
      <c r="R51">
        <v>16</v>
      </c>
      <c r="S51">
        <v>0</v>
      </c>
      <c r="T51">
        <v>0</v>
      </c>
      <c r="U51">
        <v>40</v>
      </c>
      <c r="V51">
        <v>3</v>
      </c>
      <c r="W51">
        <v>0</v>
      </c>
      <c r="X51">
        <v>0</v>
      </c>
      <c r="Y51">
        <v>13</v>
      </c>
      <c r="Z51">
        <v>1</v>
      </c>
      <c r="AA51">
        <v>0</v>
      </c>
      <c r="AB51">
        <v>1</v>
      </c>
      <c r="AC51">
        <v>0</v>
      </c>
      <c r="AD51">
        <v>1</v>
      </c>
      <c r="AE51" s="1">
        <v>0</v>
      </c>
      <c r="AF51">
        <v>0</v>
      </c>
      <c r="AG51">
        <v>1</v>
      </c>
      <c r="AH51">
        <v>1</v>
      </c>
      <c r="AI51">
        <v>0</v>
      </c>
      <c r="AJ51">
        <v>5</v>
      </c>
    </row>
    <row r="52" spans="1:36" x14ac:dyDescent="0.2">
      <c r="A52" s="3" t="s">
        <v>43</v>
      </c>
      <c r="B52" s="3" t="s">
        <v>98</v>
      </c>
      <c r="C52" s="3" t="s">
        <v>86</v>
      </c>
      <c r="D52">
        <f t="shared" si="8"/>
        <v>49</v>
      </c>
      <c r="E52" t="s">
        <v>1</v>
      </c>
      <c r="F52">
        <f t="shared" si="9"/>
        <v>179</v>
      </c>
      <c r="G52">
        <v>49</v>
      </c>
      <c r="H52">
        <v>14</v>
      </c>
      <c r="I52">
        <v>0</v>
      </c>
      <c r="J52">
        <v>0</v>
      </c>
      <c r="K52">
        <v>13</v>
      </c>
      <c r="L52">
        <v>4</v>
      </c>
      <c r="M52">
        <v>0</v>
      </c>
      <c r="N52">
        <v>15</v>
      </c>
      <c r="O52">
        <v>0</v>
      </c>
      <c r="P52">
        <v>3</v>
      </c>
      <c r="Q52">
        <v>0</v>
      </c>
      <c r="R52">
        <v>16</v>
      </c>
      <c r="S52">
        <v>0</v>
      </c>
      <c r="T52">
        <v>0</v>
      </c>
      <c r="U52">
        <v>39</v>
      </c>
      <c r="V52">
        <v>3</v>
      </c>
      <c r="W52">
        <v>0</v>
      </c>
      <c r="X52">
        <v>0</v>
      </c>
      <c r="Y52">
        <v>13</v>
      </c>
      <c r="Z52">
        <v>1</v>
      </c>
      <c r="AA52">
        <v>0</v>
      </c>
      <c r="AB52">
        <v>1</v>
      </c>
      <c r="AC52">
        <v>0</v>
      </c>
      <c r="AD52">
        <v>1</v>
      </c>
      <c r="AE52" s="1">
        <v>0</v>
      </c>
      <c r="AF52">
        <v>0</v>
      </c>
      <c r="AG52">
        <v>1</v>
      </c>
      <c r="AH52">
        <v>1</v>
      </c>
      <c r="AI52">
        <v>0</v>
      </c>
      <c r="AJ52">
        <v>5</v>
      </c>
    </row>
    <row r="53" spans="1:36" x14ac:dyDescent="0.2">
      <c r="A53" s="3" t="s">
        <v>44</v>
      </c>
      <c r="B53" s="3" t="s">
        <v>98</v>
      </c>
      <c r="C53" s="3" t="s">
        <v>86</v>
      </c>
      <c r="D53">
        <f t="shared" si="8"/>
        <v>49</v>
      </c>
      <c r="E53" t="s">
        <v>1</v>
      </c>
      <c r="F53">
        <f t="shared" si="9"/>
        <v>179</v>
      </c>
      <c r="G53">
        <v>49</v>
      </c>
      <c r="H53">
        <v>14</v>
      </c>
      <c r="I53">
        <v>0</v>
      </c>
      <c r="J53">
        <v>0</v>
      </c>
      <c r="K53">
        <v>13</v>
      </c>
      <c r="L53">
        <v>4</v>
      </c>
      <c r="M53">
        <v>0</v>
      </c>
      <c r="N53">
        <v>15</v>
      </c>
      <c r="O53">
        <v>0</v>
      </c>
      <c r="P53">
        <v>3</v>
      </c>
      <c r="Q53">
        <v>1</v>
      </c>
      <c r="R53">
        <v>16</v>
      </c>
      <c r="S53">
        <v>0</v>
      </c>
      <c r="T53">
        <v>0</v>
      </c>
      <c r="U53">
        <v>39</v>
      </c>
      <c r="V53">
        <v>3</v>
      </c>
      <c r="W53">
        <v>0</v>
      </c>
      <c r="X53">
        <v>0</v>
      </c>
      <c r="Y53">
        <v>13</v>
      </c>
      <c r="Z53">
        <v>1</v>
      </c>
      <c r="AA53">
        <v>0</v>
      </c>
      <c r="AB53">
        <v>1</v>
      </c>
      <c r="AC53">
        <v>0</v>
      </c>
      <c r="AD53">
        <v>1</v>
      </c>
      <c r="AE53" s="1">
        <v>0</v>
      </c>
      <c r="AF53">
        <v>0</v>
      </c>
      <c r="AG53">
        <v>1</v>
      </c>
      <c r="AH53">
        <v>1</v>
      </c>
      <c r="AI53">
        <v>0</v>
      </c>
      <c r="AJ53">
        <v>4</v>
      </c>
    </row>
    <row r="54" spans="1:36" x14ac:dyDescent="0.2">
      <c r="A54" s="3" t="s">
        <v>45</v>
      </c>
      <c r="B54" s="3" t="s">
        <v>98</v>
      </c>
      <c r="C54" s="3" t="s">
        <v>86</v>
      </c>
      <c r="D54">
        <f t="shared" si="8"/>
        <v>49</v>
      </c>
      <c r="E54" t="s">
        <v>1</v>
      </c>
      <c r="F54">
        <f t="shared" si="9"/>
        <v>179</v>
      </c>
      <c r="G54">
        <v>49</v>
      </c>
      <c r="H54">
        <v>14</v>
      </c>
      <c r="I54">
        <v>0</v>
      </c>
      <c r="J54">
        <v>0</v>
      </c>
      <c r="K54">
        <v>13</v>
      </c>
      <c r="L54">
        <v>4</v>
      </c>
      <c r="M54">
        <v>0</v>
      </c>
      <c r="N54">
        <v>15</v>
      </c>
      <c r="O54">
        <v>0</v>
      </c>
      <c r="P54">
        <v>3</v>
      </c>
      <c r="Q54">
        <v>1</v>
      </c>
      <c r="R54">
        <v>16</v>
      </c>
      <c r="S54">
        <v>0</v>
      </c>
      <c r="T54">
        <v>1</v>
      </c>
      <c r="U54">
        <v>39</v>
      </c>
      <c r="V54">
        <v>3</v>
      </c>
      <c r="W54">
        <v>0</v>
      </c>
      <c r="X54">
        <v>0</v>
      </c>
      <c r="Y54">
        <v>13</v>
      </c>
      <c r="Z54">
        <v>1</v>
      </c>
      <c r="AA54">
        <v>0</v>
      </c>
      <c r="AB54">
        <v>1</v>
      </c>
      <c r="AC54">
        <v>0</v>
      </c>
      <c r="AD54">
        <v>1</v>
      </c>
      <c r="AE54" s="1">
        <v>0</v>
      </c>
      <c r="AF54">
        <v>0</v>
      </c>
      <c r="AG54">
        <v>1</v>
      </c>
      <c r="AH54">
        <v>1</v>
      </c>
      <c r="AI54">
        <v>0</v>
      </c>
      <c r="AJ54">
        <v>3</v>
      </c>
    </row>
    <row r="55" spans="1:36" x14ac:dyDescent="0.2">
      <c r="A55" s="3" t="s">
        <v>46</v>
      </c>
      <c r="B55" s="3" t="s">
        <v>98</v>
      </c>
      <c r="C55" s="3" t="s">
        <v>86</v>
      </c>
      <c r="D55">
        <f t="shared" si="8"/>
        <v>49</v>
      </c>
      <c r="E55" t="s">
        <v>1</v>
      </c>
      <c r="F55">
        <f t="shared" si="9"/>
        <v>179</v>
      </c>
      <c r="G55">
        <v>49</v>
      </c>
      <c r="H55">
        <v>14</v>
      </c>
      <c r="I55">
        <v>0</v>
      </c>
      <c r="J55">
        <v>0</v>
      </c>
      <c r="K55">
        <v>12</v>
      </c>
      <c r="L55">
        <v>4</v>
      </c>
      <c r="M55">
        <v>0</v>
      </c>
      <c r="N55">
        <v>15</v>
      </c>
      <c r="O55">
        <v>0</v>
      </c>
      <c r="P55">
        <v>3</v>
      </c>
      <c r="Q55">
        <v>1</v>
      </c>
      <c r="R55">
        <v>16</v>
      </c>
      <c r="S55">
        <v>0</v>
      </c>
      <c r="T55">
        <v>1</v>
      </c>
      <c r="U55">
        <v>39</v>
      </c>
      <c r="V55">
        <v>3</v>
      </c>
      <c r="W55">
        <v>0</v>
      </c>
      <c r="X55">
        <v>0</v>
      </c>
      <c r="Y55">
        <v>13</v>
      </c>
      <c r="Z55">
        <v>1</v>
      </c>
      <c r="AA55">
        <v>0</v>
      </c>
      <c r="AB55">
        <v>1</v>
      </c>
      <c r="AC55">
        <v>0</v>
      </c>
      <c r="AD55">
        <v>1</v>
      </c>
      <c r="AE55" s="1">
        <v>0</v>
      </c>
      <c r="AF55">
        <v>0</v>
      </c>
      <c r="AG55">
        <v>1</v>
      </c>
      <c r="AH55">
        <v>1</v>
      </c>
      <c r="AI55">
        <v>0</v>
      </c>
      <c r="AJ55">
        <v>4</v>
      </c>
    </row>
    <row r="56" spans="1:36" x14ac:dyDescent="0.2">
      <c r="A56" s="3" t="s">
        <v>47</v>
      </c>
      <c r="B56" s="3" t="s">
        <v>98</v>
      </c>
      <c r="C56" s="3" t="s">
        <v>86</v>
      </c>
      <c r="D56">
        <f t="shared" si="8"/>
        <v>49</v>
      </c>
      <c r="E56" t="s">
        <v>1</v>
      </c>
      <c r="F56">
        <f t="shared" si="9"/>
        <v>179</v>
      </c>
      <c r="G56">
        <v>49</v>
      </c>
      <c r="H56">
        <v>14</v>
      </c>
      <c r="I56">
        <v>0</v>
      </c>
      <c r="J56">
        <v>0</v>
      </c>
      <c r="K56">
        <v>12</v>
      </c>
      <c r="L56">
        <v>4</v>
      </c>
      <c r="M56">
        <v>0</v>
      </c>
      <c r="N56">
        <v>15</v>
      </c>
      <c r="O56">
        <v>0</v>
      </c>
      <c r="P56">
        <v>3</v>
      </c>
      <c r="Q56">
        <v>1</v>
      </c>
      <c r="R56">
        <v>12</v>
      </c>
      <c r="S56">
        <v>0</v>
      </c>
      <c r="T56">
        <v>1</v>
      </c>
      <c r="U56">
        <v>39</v>
      </c>
      <c r="V56">
        <v>3</v>
      </c>
      <c r="W56">
        <v>0</v>
      </c>
      <c r="X56">
        <v>0</v>
      </c>
      <c r="Y56">
        <v>13</v>
      </c>
      <c r="Z56">
        <v>1</v>
      </c>
      <c r="AA56">
        <v>0</v>
      </c>
      <c r="AB56">
        <v>1</v>
      </c>
      <c r="AC56">
        <v>0</v>
      </c>
      <c r="AD56">
        <v>1</v>
      </c>
      <c r="AE56" s="1">
        <v>0</v>
      </c>
      <c r="AF56">
        <v>0</v>
      </c>
      <c r="AG56">
        <v>1</v>
      </c>
      <c r="AH56">
        <v>1</v>
      </c>
      <c r="AI56">
        <v>0</v>
      </c>
      <c r="AJ56">
        <v>8</v>
      </c>
    </row>
    <row r="57" spans="1:36" x14ac:dyDescent="0.2">
      <c r="A57" s="3" t="s">
        <v>48</v>
      </c>
      <c r="B57" s="3" t="s">
        <v>98</v>
      </c>
      <c r="C57" s="3" t="s">
        <v>86</v>
      </c>
      <c r="D57">
        <f t="shared" si="8"/>
        <v>49</v>
      </c>
      <c r="E57" t="s">
        <v>1</v>
      </c>
      <c r="F57">
        <f t="shared" si="9"/>
        <v>179</v>
      </c>
      <c r="G57">
        <v>49</v>
      </c>
      <c r="H57">
        <v>14</v>
      </c>
      <c r="I57">
        <v>0</v>
      </c>
      <c r="J57">
        <v>0</v>
      </c>
      <c r="K57">
        <v>12</v>
      </c>
      <c r="L57">
        <v>4</v>
      </c>
      <c r="M57">
        <v>0</v>
      </c>
      <c r="N57">
        <v>15</v>
      </c>
      <c r="O57">
        <v>0</v>
      </c>
      <c r="P57">
        <v>3</v>
      </c>
      <c r="Q57">
        <v>1</v>
      </c>
      <c r="R57">
        <v>11</v>
      </c>
      <c r="S57">
        <v>0</v>
      </c>
      <c r="T57">
        <v>1</v>
      </c>
      <c r="U57">
        <v>39</v>
      </c>
      <c r="V57">
        <v>3</v>
      </c>
      <c r="W57">
        <v>0</v>
      </c>
      <c r="X57">
        <v>0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</v>
      </c>
      <c r="AE57" s="1">
        <v>0</v>
      </c>
      <c r="AF57">
        <v>0</v>
      </c>
      <c r="AG57">
        <v>1</v>
      </c>
      <c r="AH57">
        <v>1</v>
      </c>
      <c r="AI57">
        <v>0</v>
      </c>
      <c r="AJ57">
        <v>9</v>
      </c>
    </row>
    <row r="58" spans="1:36" x14ac:dyDescent="0.2">
      <c r="A58" s="3" t="s">
        <v>49</v>
      </c>
      <c r="B58" s="3" t="s">
        <v>98</v>
      </c>
      <c r="C58" s="3" t="s">
        <v>86</v>
      </c>
      <c r="D58">
        <f t="shared" si="8"/>
        <v>49</v>
      </c>
      <c r="E58" t="s">
        <v>1</v>
      </c>
      <c r="F58">
        <f t="shared" si="9"/>
        <v>179</v>
      </c>
      <c r="G58">
        <v>49</v>
      </c>
      <c r="H58">
        <v>14</v>
      </c>
      <c r="I58">
        <v>0</v>
      </c>
      <c r="J58">
        <v>0</v>
      </c>
      <c r="K58">
        <v>12</v>
      </c>
      <c r="L58">
        <v>4</v>
      </c>
      <c r="M58">
        <v>0</v>
      </c>
      <c r="N58">
        <v>15</v>
      </c>
      <c r="O58">
        <v>0</v>
      </c>
      <c r="P58">
        <v>3</v>
      </c>
      <c r="Q58">
        <v>1</v>
      </c>
      <c r="R58">
        <v>10</v>
      </c>
      <c r="S58">
        <v>0</v>
      </c>
      <c r="T58">
        <v>1</v>
      </c>
      <c r="U58">
        <v>39</v>
      </c>
      <c r="V58">
        <v>3</v>
      </c>
      <c r="W58">
        <v>0</v>
      </c>
      <c r="X58">
        <v>0</v>
      </c>
      <c r="Y58">
        <v>13</v>
      </c>
      <c r="Z58">
        <v>1</v>
      </c>
      <c r="AA58">
        <v>0</v>
      </c>
      <c r="AB58">
        <v>1</v>
      </c>
      <c r="AC58">
        <v>0</v>
      </c>
      <c r="AD58">
        <v>1</v>
      </c>
      <c r="AE58" s="1">
        <v>0</v>
      </c>
      <c r="AF58">
        <v>0</v>
      </c>
      <c r="AG58">
        <v>1</v>
      </c>
      <c r="AH58">
        <v>1</v>
      </c>
      <c r="AI58">
        <v>0</v>
      </c>
      <c r="AJ58">
        <v>10</v>
      </c>
    </row>
    <row r="59" spans="1:36" x14ac:dyDescent="0.2">
      <c r="A59" s="3" t="s">
        <v>50</v>
      </c>
      <c r="B59" s="3" t="s">
        <v>98</v>
      </c>
      <c r="C59" s="3" t="s">
        <v>86</v>
      </c>
      <c r="D59">
        <f t="shared" si="8"/>
        <v>49</v>
      </c>
      <c r="E59" t="s">
        <v>1</v>
      </c>
      <c r="F59">
        <f t="shared" si="9"/>
        <v>179</v>
      </c>
      <c r="G59">
        <v>49</v>
      </c>
      <c r="H59">
        <v>14</v>
      </c>
      <c r="I59">
        <v>0</v>
      </c>
      <c r="J59">
        <v>0</v>
      </c>
      <c r="K59">
        <v>12</v>
      </c>
      <c r="L59">
        <v>4</v>
      </c>
      <c r="M59">
        <v>0</v>
      </c>
      <c r="N59">
        <v>15</v>
      </c>
      <c r="O59">
        <v>0</v>
      </c>
      <c r="P59">
        <v>3</v>
      </c>
      <c r="Q59">
        <v>1</v>
      </c>
      <c r="R59">
        <v>8</v>
      </c>
      <c r="S59">
        <v>0</v>
      </c>
      <c r="T59">
        <v>1</v>
      </c>
      <c r="U59">
        <v>39</v>
      </c>
      <c r="V59">
        <v>3</v>
      </c>
      <c r="W59">
        <v>0</v>
      </c>
      <c r="X59">
        <v>0</v>
      </c>
      <c r="Y59">
        <v>13</v>
      </c>
      <c r="Z59">
        <v>1</v>
      </c>
      <c r="AA59">
        <v>0</v>
      </c>
      <c r="AB59">
        <v>1</v>
      </c>
      <c r="AC59">
        <v>0</v>
      </c>
      <c r="AD59">
        <v>1</v>
      </c>
      <c r="AE59" s="1">
        <v>0</v>
      </c>
      <c r="AF59">
        <v>0</v>
      </c>
      <c r="AG59">
        <v>1</v>
      </c>
      <c r="AH59">
        <v>1</v>
      </c>
      <c r="AI59">
        <v>0</v>
      </c>
      <c r="AJ59">
        <v>12</v>
      </c>
    </row>
    <row r="60" spans="1:36" x14ac:dyDescent="0.2">
      <c r="A60" s="3" t="s">
        <v>51</v>
      </c>
      <c r="B60" s="3" t="s">
        <v>98</v>
      </c>
      <c r="C60" s="3" t="s">
        <v>86</v>
      </c>
      <c r="D60">
        <f t="shared" si="8"/>
        <v>49</v>
      </c>
      <c r="E60" t="s">
        <v>1</v>
      </c>
      <c r="F60">
        <f t="shared" si="9"/>
        <v>179</v>
      </c>
      <c r="G60">
        <v>49</v>
      </c>
      <c r="H60">
        <v>14</v>
      </c>
      <c r="I60">
        <v>0</v>
      </c>
      <c r="J60">
        <v>0</v>
      </c>
      <c r="K60">
        <v>12</v>
      </c>
      <c r="L60">
        <v>4</v>
      </c>
      <c r="M60">
        <v>0</v>
      </c>
      <c r="N60">
        <v>15</v>
      </c>
      <c r="O60">
        <v>0</v>
      </c>
      <c r="P60">
        <v>3</v>
      </c>
      <c r="Q60">
        <v>1</v>
      </c>
      <c r="R60">
        <v>6</v>
      </c>
      <c r="S60">
        <v>0</v>
      </c>
      <c r="T60">
        <v>1</v>
      </c>
      <c r="U60">
        <v>39</v>
      </c>
      <c r="V60">
        <v>3</v>
      </c>
      <c r="W60">
        <v>0</v>
      </c>
      <c r="X60">
        <v>0</v>
      </c>
      <c r="Y60">
        <v>13</v>
      </c>
      <c r="Z60">
        <v>1</v>
      </c>
      <c r="AA60">
        <v>0</v>
      </c>
      <c r="AB60">
        <v>1</v>
      </c>
      <c r="AC60">
        <v>0</v>
      </c>
      <c r="AD60">
        <v>1</v>
      </c>
      <c r="AE60" s="1">
        <v>0</v>
      </c>
      <c r="AF60">
        <v>0</v>
      </c>
      <c r="AG60">
        <v>1</v>
      </c>
      <c r="AH60">
        <v>1</v>
      </c>
      <c r="AI60">
        <v>0</v>
      </c>
      <c r="AJ60">
        <v>14</v>
      </c>
    </row>
    <row r="61" spans="1:36" x14ac:dyDescent="0.2">
      <c r="A61" s="3" t="s">
        <v>52</v>
      </c>
      <c r="B61" s="3" t="s">
        <v>98</v>
      </c>
      <c r="C61" s="3" t="s">
        <v>86</v>
      </c>
      <c r="D61">
        <f t="shared" si="8"/>
        <v>49</v>
      </c>
      <c r="E61" t="s">
        <v>1</v>
      </c>
      <c r="F61">
        <f t="shared" si="9"/>
        <v>179</v>
      </c>
      <c r="G61">
        <v>49</v>
      </c>
      <c r="H61">
        <v>14</v>
      </c>
      <c r="I61">
        <v>0</v>
      </c>
      <c r="J61">
        <v>0</v>
      </c>
      <c r="K61">
        <v>12</v>
      </c>
      <c r="L61">
        <v>4</v>
      </c>
      <c r="M61">
        <v>0</v>
      </c>
      <c r="N61">
        <v>15</v>
      </c>
      <c r="O61">
        <v>0</v>
      </c>
      <c r="P61">
        <v>3</v>
      </c>
      <c r="Q61">
        <v>1</v>
      </c>
      <c r="R61">
        <v>5</v>
      </c>
      <c r="S61">
        <v>0</v>
      </c>
      <c r="T61">
        <v>1</v>
      </c>
      <c r="U61">
        <v>39</v>
      </c>
      <c r="V61">
        <v>3</v>
      </c>
      <c r="W61">
        <v>0</v>
      </c>
      <c r="X61">
        <v>0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</v>
      </c>
      <c r="AE61" s="1">
        <v>0</v>
      </c>
      <c r="AF61">
        <v>0</v>
      </c>
      <c r="AG61">
        <v>1</v>
      </c>
      <c r="AH61">
        <v>1</v>
      </c>
      <c r="AI61">
        <v>0</v>
      </c>
      <c r="AJ61">
        <v>15</v>
      </c>
    </row>
    <row r="62" spans="1:36" x14ac:dyDescent="0.2">
      <c r="A62" s="3" t="s">
        <v>53</v>
      </c>
      <c r="B62" s="3" t="s">
        <v>98</v>
      </c>
      <c r="C62" s="3" t="s">
        <v>86</v>
      </c>
      <c r="D62">
        <f t="shared" si="8"/>
        <v>49</v>
      </c>
      <c r="E62" t="s">
        <v>1</v>
      </c>
      <c r="F62">
        <f t="shared" si="9"/>
        <v>179</v>
      </c>
      <c r="G62">
        <v>49</v>
      </c>
      <c r="H62">
        <v>14</v>
      </c>
      <c r="I62">
        <v>0</v>
      </c>
      <c r="J62">
        <v>0</v>
      </c>
      <c r="K62" s="2">
        <v>12</v>
      </c>
      <c r="L62">
        <v>4</v>
      </c>
      <c r="M62">
        <v>0</v>
      </c>
      <c r="N62">
        <v>15</v>
      </c>
      <c r="O62">
        <v>0</v>
      </c>
      <c r="P62">
        <v>3</v>
      </c>
      <c r="Q62">
        <v>0</v>
      </c>
      <c r="R62">
        <v>5</v>
      </c>
      <c r="S62">
        <v>0</v>
      </c>
      <c r="T62">
        <v>1</v>
      </c>
      <c r="U62">
        <v>39</v>
      </c>
      <c r="V62">
        <v>3</v>
      </c>
      <c r="W62">
        <v>0</v>
      </c>
      <c r="X62">
        <v>0</v>
      </c>
      <c r="Y62">
        <v>13</v>
      </c>
      <c r="Z62">
        <v>1</v>
      </c>
      <c r="AA62">
        <v>0</v>
      </c>
      <c r="AB62">
        <v>1</v>
      </c>
      <c r="AC62">
        <v>0</v>
      </c>
      <c r="AD62">
        <v>1</v>
      </c>
      <c r="AE62" s="1">
        <v>0</v>
      </c>
      <c r="AF62">
        <v>0</v>
      </c>
      <c r="AG62">
        <v>1</v>
      </c>
      <c r="AH62">
        <v>1</v>
      </c>
      <c r="AI62">
        <v>0</v>
      </c>
      <c r="AJ62" s="2">
        <v>16</v>
      </c>
    </row>
    <row r="63" spans="1:36" x14ac:dyDescent="0.2">
      <c r="A63" s="3" t="s">
        <v>54</v>
      </c>
      <c r="B63" s="3" t="s">
        <v>98</v>
      </c>
      <c r="C63" s="3" t="s">
        <v>86</v>
      </c>
      <c r="D63">
        <f t="shared" si="8"/>
        <v>50</v>
      </c>
      <c r="E63" t="s">
        <v>0</v>
      </c>
      <c r="F63">
        <f t="shared" si="9"/>
        <v>179</v>
      </c>
      <c r="G63">
        <v>50</v>
      </c>
      <c r="H63">
        <v>7</v>
      </c>
      <c r="I63">
        <v>0</v>
      </c>
      <c r="J63">
        <v>0</v>
      </c>
      <c r="K63">
        <v>10</v>
      </c>
      <c r="L63">
        <v>6</v>
      </c>
      <c r="M63">
        <v>0</v>
      </c>
      <c r="N63">
        <v>15</v>
      </c>
      <c r="O63">
        <v>0</v>
      </c>
      <c r="P63">
        <v>14</v>
      </c>
      <c r="Q63">
        <v>0</v>
      </c>
      <c r="R63">
        <v>5</v>
      </c>
      <c r="S63">
        <v>0</v>
      </c>
      <c r="T63">
        <v>16</v>
      </c>
      <c r="U63">
        <v>23</v>
      </c>
      <c r="V63">
        <v>0</v>
      </c>
      <c r="W63">
        <v>14</v>
      </c>
      <c r="X63">
        <v>0</v>
      </c>
      <c r="Y63">
        <v>9</v>
      </c>
      <c r="Z63">
        <v>6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</row>
    <row r="64" spans="1:36" x14ac:dyDescent="0.2">
      <c r="A64" s="3" t="s">
        <v>55</v>
      </c>
      <c r="B64" s="3" t="s">
        <v>98</v>
      </c>
      <c r="C64" s="3" t="s">
        <v>86</v>
      </c>
      <c r="D64">
        <f t="shared" si="8"/>
        <v>50</v>
      </c>
      <c r="E64" t="s">
        <v>1</v>
      </c>
      <c r="F64">
        <f t="shared" si="9"/>
        <v>179</v>
      </c>
      <c r="G64">
        <v>50</v>
      </c>
      <c r="H64">
        <v>7</v>
      </c>
      <c r="I64">
        <v>0</v>
      </c>
      <c r="J64">
        <v>0</v>
      </c>
      <c r="K64">
        <v>10</v>
      </c>
      <c r="L64">
        <v>5</v>
      </c>
      <c r="M64">
        <v>0</v>
      </c>
      <c r="N64">
        <v>15</v>
      </c>
      <c r="O64">
        <v>0</v>
      </c>
      <c r="P64">
        <v>14</v>
      </c>
      <c r="Q64">
        <v>0</v>
      </c>
      <c r="R64">
        <v>5</v>
      </c>
      <c r="S64">
        <v>0</v>
      </c>
      <c r="T64">
        <v>16</v>
      </c>
      <c r="U64">
        <v>23</v>
      </c>
      <c r="V64">
        <v>0</v>
      </c>
      <c r="W64">
        <v>14</v>
      </c>
      <c r="X64">
        <v>0</v>
      </c>
      <c r="Y64">
        <v>9</v>
      </c>
      <c r="Z64">
        <v>6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1</v>
      </c>
    </row>
    <row r="65" spans="1:36" x14ac:dyDescent="0.2">
      <c r="A65" s="3" t="s">
        <v>84</v>
      </c>
      <c r="B65" s="3" t="s">
        <v>99</v>
      </c>
      <c r="C65" s="3" t="s">
        <v>85</v>
      </c>
      <c r="D65">
        <f>SUM(G65+U65+T65)</f>
        <v>89</v>
      </c>
      <c r="E65" s="3" t="s">
        <v>1</v>
      </c>
      <c r="F65">
        <f t="shared" si="9"/>
        <v>179</v>
      </c>
      <c r="G65">
        <v>50</v>
      </c>
      <c r="H65">
        <v>7</v>
      </c>
      <c r="I65">
        <v>0</v>
      </c>
      <c r="J65">
        <v>0</v>
      </c>
      <c r="K65">
        <v>10</v>
      </c>
      <c r="L65">
        <v>5</v>
      </c>
      <c r="M65">
        <v>0</v>
      </c>
      <c r="N65">
        <v>15</v>
      </c>
      <c r="O65">
        <v>0</v>
      </c>
      <c r="P65">
        <v>14</v>
      </c>
      <c r="Q65">
        <v>0</v>
      </c>
      <c r="R65">
        <v>5</v>
      </c>
      <c r="S65">
        <v>0</v>
      </c>
      <c r="T65">
        <v>16</v>
      </c>
      <c r="U65">
        <v>23</v>
      </c>
      <c r="V65">
        <v>0</v>
      </c>
      <c r="W65">
        <v>14</v>
      </c>
      <c r="X65">
        <v>0</v>
      </c>
      <c r="Y65">
        <v>9</v>
      </c>
      <c r="Z65">
        <v>6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1</v>
      </c>
    </row>
    <row r="66" spans="1:36" x14ac:dyDescent="0.2">
      <c r="A66" s="3" t="s">
        <v>56</v>
      </c>
      <c r="B66" s="3" t="s">
        <v>99</v>
      </c>
      <c r="C66" s="3" t="s">
        <v>85</v>
      </c>
      <c r="D66">
        <f t="shared" ref="D66:D85" si="10">SUM(G66+U66+T66)</f>
        <v>89</v>
      </c>
      <c r="E66" t="s">
        <v>1</v>
      </c>
      <c r="F66">
        <f t="shared" si="9"/>
        <v>179</v>
      </c>
      <c r="G66">
        <v>50</v>
      </c>
      <c r="H66">
        <v>7</v>
      </c>
      <c r="I66">
        <v>0</v>
      </c>
      <c r="J66">
        <v>0</v>
      </c>
      <c r="K66">
        <v>10</v>
      </c>
      <c r="L66">
        <v>4</v>
      </c>
      <c r="M66">
        <v>0</v>
      </c>
      <c r="N66">
        <v>15</v>
      </c>
      <c r="O66">
        <v>0</v>
      </c>
      <c r="P66">
        <v>14</v>
      </c>
      <c r="Q66">
        <v>0</v>
      </c>
      <c r="R66">
        <v>6</v>
      </c>
      <c r="S66">
        <v>0</v>
      </c>
      <c r="T66">
        <v>16</v>
      </c>
      <c r="U66">
        <v>23</v>
      </c>
      <c r="V66">
        <v>0</v>
      </c>
      <c r="W66">
        <v>14</v>
      </c>
      <c r="X66">
        <v>0</v>
      </c>
      <c r="Y66">
        <v>9</v>
      </c>
      <c r="Z66">
        <v>6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1</v>
      </c>
    </row>
    <row r="67" spans="1:36" x14ac:dyDescent="0.2">
      <c r="A67" s="3" t="s">
        <v>57</v>
      </c>
      <c r="B67" s="3" t="s">
        <v>99</v>
      </c>
      <c r="C67" s="3" t="s">
        <v>85</v>
      </c>
      <c r="D67">
        <f t="shared" si="10"/>
        <v>89</v>
      </c>
      <c r="E67" t="s">
        <v>1</v>
      </c>
      <c r="F67">
        <f t="shared" si="9"/>
        <v>179</v>
      </c>
      <c r="G67">
        <v>50</v>
      </c>
      <c r="H67">
        <v>7</v>
      </c>
      <c r="I67">
        <v>0</v>
      </c>
      <c r="J67">
        <v>0</v>
      </c>
      <c r="K67">
        <v>10</v>
      </c>
      <c r="L67">
        <v>4</v>
      </c>
      <c r="M67">
        <v>0</v>
      </c>
      <c r="N67">
        <v>15</v>
      </c>
      <c r="O67">
        <v>0</v>
      </c>
      <c r="P67">
        <v>14</v>
      </c>
      <c r="Q67">
        <v>0</v>
      </c>
      <c r="R67">
        <v>7</v>
      </c>
      <c r="S67">
        <v>0</v>
      </c>
      <c r="T67">
        <v>16</v>
      </c>
      <c r="U67">
        <v>23</v>
      </c>
      <c r="V67">
        <v>0</v>
      </c>
      <c r="W67">
        <v>14</v>
      </c>
      <c r="X67">
        <v>0</v>
      </c>
      <c r="Y67">
        <v>9</v>
      </c>
      <c r="Z67">
        <v>6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</row>
    <row r="68" spans="1:36" x14ac:dyDescent="0.2">
      <c r="A68" s="3" t="s">
        <v>58</v>
      </c>
      <c r="B68" s="3" t="s">
        <v>99</v>
      </c>
      <c r="C68" s="3" t="s">
        <v>85</v>
      </c>
      <c r="D68">
        <f t="shared" si="10"/>
        <v>89</v>
      </c>
      <c r="E68" t="s">
        <v>1</v>
      </c>
      <c r="F68">
        <f t="shared" si="9"/>
        <v>179</v>
      </c>
      <c r="G68">
        <v>50</v>
      </c>
      <c r="H68">
        <v>7</v>
      </c>
      <c r="I68">
        <v>0</v>
      </c>
      <c r="J68">
        <v>0</v>
      </c>
      <c r="K68">
        <v>10</v>
      </c>
      <c r="L68">
        <v>3</v>
      </c>
      <c r="M68">
        <v>0</v>
      </c>
      <c r="N68">
        <v>15</v>
      </c>
      <c r="O68">
        <v>0</v>
      </c>
      <c r="P68">
        <v>14</v>
      </c>
      <c r="Q68">
        <v>0</v>
      </c>
      <c r="R68">
        <v>7</v>
      </c>
      <c r="S68">
        <v>0</v>
      </c>
      <c r="T68">
        <v>16</v>
      </c>
      <c r="U68">
        <v>23</v>
      </c>
      <c r="V68">
        <v>0</v>
      </c>
      <c r="W68">
        <v>14</v>
      </c>
      <c r="X68">
        <v>0</v>
      </c>
      <c r="Y68">
        <v>9</v>
      </c>
      <c r="Z68">
        <v>6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1</v>
      </c>
    </row>
    <row r="69" spans="1:36" x14ac:dyDescent="0.2">
      <c r="A69" s="3" t="s">
        <v>59</v>
      </c>
      <c r="B69" s="3" t="s">
        <v>99</v>
      </c>
      <c r="C69" s="3" t="s">
        <v>85</v>
      </c>
      <c r="D69">
        <f t="shared" si="10"/>
        <v>88</v>
      </c>
      <c r="E69" t="s">
        <v>1</v>
      </c>
      <c r="F69">
        <f t="shared" si="9"/>
        <v>179</v>
      </c>
      <c r="G69">
        <v>50</v>
      </c>
      <c r="H69">
        <v>7</v>
      </c>
      <c r="I69">
        <v>0</v>
      </c>
      <c r="J69">
        <v>0</v>
      </c>
      <c r="K69">
        <v>10</v>
      </c>
      <c r="L69">
        <v>3</v>
      </c>
      <c r="M69">
        <v>0</v>
      </c>
      <c r="N69">
        <v>15</v>
      </c>
      <c r="O69">
        <v>0</v>
      </c>
      <c r="P69">
        <v>14</v>
      </c>
      <c r="Q69">
        <v>0</v>
      </c>
      <c r="R69">
        <v>7</v>
      </c>
      <c r="S69">
        <v>0</v>
      </c>
      <c r="T69">
        <v>15</v>
      </c>
      <c r="U69">
        <v>23</v>
      </c>
      <c r="V69">
        <v>0</v>
      </c>
      <c r="W69">
        <v>14</v>
      </c>
      <c r="X69">
        <v>0</v>
      </c>
      <c r="Y69">
        <v>9</v>
      </c>
      <c r="Z69">
        <v>6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2</v>
      </c>
    </row>
    <row r="70" spans="1:36" x14ac:dyDescent="0.2">
      <c r="A70" s="3" t="s">
        <v>60</v>
      </c>
      <c r="B70" s="3" t="s">
        <v>99</v>
      </c>
      <c r="C70" s="3" t="s">
        <v>85</v>
      </c>
      <c r="D70">
        <f t="shared" si="10"/>
        <v>88</v>
      </c>
      <c r="E70" t="s">
        <v>1</v>
      </c>
      <c r="F70">
        <f t="shared" si="9"/>
        <v>179</v>
      </c>
      <c r="G70">
        <v>50</v>
      </c>
      <c r="H70">
        <v>7</v>
      </c>
      <c r="I70">
        <v>0</v>
      </c>
      <c r="J70">
        <v>0</v>
      </c>
      <c r="K70">
        <v>10</v>
      </c>
      <c r="L70">
        <v>3</v>
      </c>
      <c r="M70">
        <v>0</v>
      </c>
      <c r="N70">
        <v>15</v>
      </c>
      <c r="O70">
        <v>0</v>
      </c>
      <c r="P70">
        <v>14</v>
      </c>
      <c r="Q70">
        <v>0</v>
      </c>
      <c r="R70">
        <v>7</v>
      </c>
      <c r="S70">
        <v>0</v>
      </c>
      <c r="T70">
        <v>15</v>
      </c>
      <c r="U70">
        <v>23</v>
      </c>
      <c r="V70">
        <v>0</v>
      </c>
      <c r="W70">
        <v>14</v>
      </c>
      <c r="X70">
        <v>0</v>
      </c>
      <c r="Y70">
        <v>9</v>
      </c>
      <c r="Z70">
        <v>5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3</v>
      </c>
    </row>
    <row r="71" spans="1:36" x14ac:dyDescent="0.2">
      <c r="A71" s="3" t="s">
        <v>61</v>
      </c>
      <c r="B71" s="3" t="s">
        <v>99</v>
      </c>
      <c r="C71" s="3" t="s">
        <v>85</v>
      </c>
      <c r="D71">
        <f t="shared" si="10"/>
        <v>87</v>
      </c>
      <c r="E71" t="s">
        <v>1</v>
      </c>
      <c r="F71">
        <f t="shared" si="9"/>
        <v>179</v>
      </c>
      <c r="G71">
        <v>50</v>
      </c>
      <c r="H71">
        <v>7</v>
      </c>
      <c r="I71">
        <v>0</v>
      </c>
      <c r="J71">
        <v>0</v>
      </c>
      <c r="K71">
        <v>10</v>
      </c>
      <c r="L71">
        <v>3</v>
      </c>
      <c r="M71">
        <v>0</v>
      </c>
      <c r="N71">
        <v>15</v>
      </c>
      <c r="O71">
        <v>0</v>
      </c>
      <c r="P71">
        <v>14</v>
      </c>
      <c r="Q71">
        <v>0</v>
      </c>
      <c r="R71">
        <v>7</v>
      </c>
      <c r="S71">
        <v>0</v>
      </c>
      <c r="T71">
        <v>14</v>
      </c>
      <c r="U71">
        <v>23</v>
      </c>
      <c r="V71">
        <v>0</v>
      </c>
      <c r="W71">
        <v>14</v>
      </c>
      <c r="X71">
        <v>0</v>
      </c>
      <c r="Y71">
        <v>9</v>
      </c>
      <c r="Z71">
        <v>5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4</v>
      </c>
    </row>
    <row r="72" spans="1:36" x14ac:dyDescent="0.2">
      <c r="A72" s="3" t="s">
        <v>62</v>
      </c>
      <c r="B72" s="3" t="s">
        <v>99</v>
      </c>
      <c r="C72" s="3" t="s">
        <v>85</v>
      </c>
      <c r="D72">
        <f t="shared" si="10"/>
        <v>87</v>
      </c>
      <c r="E72" t="s">
        <v>1</v>
      </c>
      <c r="F72">
        <f t="shared" si="9"/>
        <v>179</v>
      </c>
      <c r="G72">
        <v>50</v>
      </c>
      <c r="H72">
        <v>7</v>
      </c>
      <c r="I72">
        <v>0</v>
      </c>
      <c r="J72">
        <v>0</v>
      </c>
      <c r="K72">
        <v>10</v>
      </c>
      <c r="L72">
        <v>1</v>
      </c>
      <c r="M72">
        <v>0</v>
      </c>
      <c r="N72">
        <v>15</v>
      </c>
      <c r="O72">
        <v>0</v>
      </c>
      <c r="P72">
        <v>14</v>
      </c>
      <c r="Q72">
        <v>0</v>
      </c>
      <c r="R72">
        <v>7</v>
      </c>
      <c r="S72">
        <v>0</v>
      </c>
      <c r="T72">
        <v>14</v>
      </c>
      <c r="U72">
        <v>23</v>
      </c>
      <c r="V72">
        <v>0</v>
      </c>
      <c r="W72">
        <v>14</v>
      </c>
      <c r="X72">
        <v>0</v>
      </c>
      <c r="Y72">
        <v>9</v>
      </c>
      <c r="Z72">
        <v>5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6</v>
      </c>
    </row>
    <row r="73" spans="1:36" x14ac:dyDescent="0.2">
      <c r="A73" s="3" t="s">
        <v>63</v>
      </c>
      <c r="B73" s="3" t="s">
        <v>99</v>
      </c>
      <c r="C73" s="3" t="s">
        <v>85</v>
      </c>
      <c r="D73">
        <f t="shared" si="10"/>
        <v>87</v>
      </c>
      <c r="E73" t="s">
        <v>1</v>
      </c>
      <c r="F73">
        <f t="shared" si="9"/>
        <v>179</v>
      </c>
      <c r="G73">
        <v>50</v>
      </c>
      <c r="H73">
        <v>7</v>
      </c>
      <c r="I73">
        <v>0</v>
      </c>
      <c r="J73">
        <v>0</v>
      </c>
      <c r="K73">
        <v>10</v>
      </c>
      <c r="L73">
        <v>0</v>
      </c>
      <c r="M73">
        <v>0</v>
      </c>
      <c r="N73">
        <v>15</v>
      </c>
      <c r="O73">
        <v>0</v>
      </c>
      <c r="P73">
        <v>14</v>
      </c>
      <c r="Q73">
        <v>0</v>
      </c>
      <c r="R73">
        <v>7</v>
      </c>
      <c r="S73">
        <v>0</v>
      </c>
      <c r="T73">
        <v>14</v>
      </c>
      <c r="U73">
        <v>23</v>
      </c>
      <c r="V73">
        <v>0</v>
      </c>
      <c r="W73">
        <v>14</v>
      </c>
      <c r="X73">
        <v>0</v>
      </c>
      <c r="Y73">
        <v>9</v>
      </c>
      <c r="Z73">
        <v>5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1</v>
      </c>
      <c r="AI73">
        <v>0</v>
      </c>
      <c r="AJ73">
        <v>7</v>
      </c>
    </row>
    <row r="74" spans="1:36" x14ac:dyDescent="0.2">
      <c r="A74" s="3" t="s">
        <v>64</v>
      </c>
      <c r="B74" s="3" t="s">
        <v>99</v>
      </c>
      <c r="C74" s="3" t="s">
        <v>85</v>
      </c>
      <c r="D74">
        <f t="shared" si="10"/>
        <v>87</v>
      </c>
      <c r="E74" t="s">
        <v>1</v>
      </c>
      <c r="F74">
        <f t="shared" si="9"/>
        <v>179</v>
      </c>
      <c r="G74">
        <v>50</v>
      </c>
      <c r="H74">
        <v>7</v>
      </c>
      <c r="I74">
        <v>0</v>
      </c>
      <c r="J74">
        <v>0</v>
      </c>
      <c r="K74">
        <v>10</v>
      </c>
      <c r="L74">
        <v>0</v>
      </c>
      <c r="M74">
        <v>0</v>
      </c>
      <c r="N74">
        <v>15</v>
      </c>
      <c r="O74">
        <v>0</v>
      </c>
      <c r="P74">
        <v>15</v>
      </c>
      <c r="Q74">
        <v>0</v>
      </c>
      <c r="R74">
        <v>7</v>
      </c>
      <c r="S74">
        <v>0</v>
      </c>
      <c r="T74">
        <v>14</v>
      </c>
      <c r="U74">
        <v>23</v>
      </c>
      <c r="V74">
        <v>0</v>
      </c>
      <c r="W74">
        <v>14</v>
      </c>
      <c r="X74">
        <v>0</v>
      </c>
      <c r="Y74">
        <v>9</v>
      </c>
      <c r="Z74">
        <v>5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1</v>
      </c>
      <c r="AI74">
        <v>0</v>
      </c>
      <c r="AJ74">
        <v>6</v>
      </c>
    </row>
    <row r="75" spans="1:36" x14ac:dyDescent="0.2">
      <c r="A75" s="3" t="s">
        <v>65</v>
      </c>
      <c r="B75" s="3" t="s">
        <v>99</v>
      </c>
      <c r="C75" s="3" t="s">
        <v>85</v>
      </c>
      <c r="D75">
        <f t="shared" si="10"/>
        <v>86</v>
      </c>
      <c r="E75" t="s">
        <v>1</v>
      </c>
      <c r="F75">
        <f t="shared" si="9"/>
        <v>179</v>
      </c>
      <c r="G75">
        <v>50</v>
      </c>
      <c r="H75">
        <v>7</v>
      </c>
      <c r="I75">
        <v>0</v>
      </c>
      <c r="J75">
        <v>0</v>
      </c>
      <c r="K75">
        <v>10</v>
      </c>
      <c r="L75">
        <v>0</v>
      </c>
      <c r="M75">
        <v>0</v>
      </c>
      <c r="N75">
        <v>15</v>
      </c>
      <c r="O75">
        <v>0</v>
      </c>
      <c r="P75">
        <v>15</v>
      </c>
      <c r="Q75">
        <v>0</v>
      </c>
      <c r="R75">
        <v>7</v>
      </c>
      <c r="S75">
        <v>0</v>
      </c>
      <c r="T75">
        <v>14</v>
      </c>
      <c r="U75">
        <v>22</v>
      </c>
      <c r="V75">
        <v>0</v>
      </c>
      <c r="W75">
        <v>16</v>
      </c>
      <c r="X75">
        <v>0</v>
      </c>
      <c r="Y75">
        <v>9</v>
      </c>
      <c r="Z75">
        <v>5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5</v>
      </c>
    </row>
    <row r="76" spans="1:36" x14ac:dyDescent="0.2">
      <c r="A76" s="3" t="s">
        <v>66</v>
      </c>
      <c r="B76" s="3" t="s">
        <v>99</v>
      </c>
      <c r="C76" s="3" t="s">
        <v>85</v>
      </c>
      <c r="D76">
        <f t="shared" si="10"/>
        <v>87</v>
      </c>
      <c r="E76" t="s">
        <v>1</v>
      </c>
      <c r="F76">
        <f t="shared" ref="F76:F85" si="11">SUM(G76:AJ76)</f>
        <v>179</v>
      </c>
      <c r="G76">
        <v>50</v>
      </c>
      <c r="H76">
        <v>6</v>
      </c>
      <c r="I76">
        <v>0</v>
      </c>
      <c r="J76">
        <v>0</v>
      </c>
      <c r="K76">
        <v>10</v>
      </c>
      <c r="L76">
        <v>0</v>
      </c>
      <c r="M76">
        <v>0</v>
      </c>
      <c r="N76">
        <v>15</v>
      </c>
      <c r="O76">
        <v>0</v>
      </c>
      <c r="P76">
        <v>15</v>
      </c>
      <c r="Q76">
        <v>0</v>
      </c>
      <c r="R76">
        <v>7</v>
      </c>
      <c r="S76">
        <v>0</v>
      </c>
      <c r="T76">
        <v>14</v>
      </c>
      <c r="U76">
        <v>23</v>
      </c>
      <c r="V76">
        <v>0</v>
      </c>
      <c r="W76">
        <v>16</v>
      </c>
      <c r="X76">
        <v>0</v>
      </c>
      <c r="Y76">
        <v>9</v>
      </c>
      <c r="Z76">
        <v>5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5</v>
      </c>
    </row>
    <row r="77" spans="1:36" x14ac:dyDescent="0.2">
      <c r="A77" s="3" t="s">
        <v>67</v>
      </c>
      <c r="B77" s="3" t="s">
        <v>99</v>
      </c>
      <c r="C77" s="3" t="s">
        <v>85</v>
      </c>
      <c r="D77">
        <f t="shared" si="10"/>
        <v>86</v>
      </c>
      <c r="E77" t="s">
        <v>1</v>
      </c>
      <c r="F77">
        <f t="shared" si="11"/>
        <v>179</v>
      </c>
      <c r="G77">
        <v>50</v>
      </c>
      <c r="H77">
        <v>6</v>
      </c>
      <c r="I77">
        <v>0</v>
      </c>
      <c r="J77">
        <v>0</v>
      </c>
      <c r="K77">
        <v>10</v>
      </c>
      <c r="L77">
        <v>0</v>
      </c>
      <c r="M77">
        <v>0</v>
      </c>
      <c r="N77">
        <v>15</v>
      </c>
      <c r="O77">
        <v>0</v>
      </c>
      <c r="P77">
        <v>15</v>
      </c>
      <c r="Q77">
        <v>0</v>
      </c>
      <c r="R77">
        <v>7</v>
      </c>
      <c r="S77">
        <v>0</v>
      </c>
      <c r="T77">
        <v>13</v>
      </c>
      <c r="U77">
        <v>23</v>
      </c>
      <c r="V77">
        <v>0</v>
      </c>
      <c r="W77">
        <v>16</v>
      </c>
      <c r="X77">
        <v>0</v>
      </c>
      <c r="Y77">
        <v>9</v>
      </c>
      <c r="Z77">
        <v>5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6</v>
      </c>
    </row>
    <row r="78" spans="1:36" x14ac:dyDescent="0.2">
      <c r="A78" s="3" t="s">
        <v>68</v>
      </c>
      <c r="B78" s="3" t="s">
        <v>99</v>
      </c>
      <c r="C78" s="3" t="s">
        <v>85</v>
      </c>
      <c r="D78">
        <f t="shared" si="10"/>
        <v>86</v>
      </c>
      <c r="E78" t="s">
        <v>1</v>
      </c>
      <c r="F78">
        <f t="shared" si="11"/>
        <v>179</v>
      </c>
      <c r="G78">
        <v>50</v>
      </c>
      <c r="H78">
        <v>6</v>
      </c>
      <c r="I78">
        <v>0</v>
      </c>
      <c r="J78">
        <v>0</v>
      </c>
      <c r="K78">
        <v>10</v>
      </c>
      <c r="L78">
        <v>0</v>
      </c>
      <c r="M78">
        <v>0</v>
      </c>
      <c r="N78">
        <v>15</v>
      </c>
      <c r="O78">
        <v>0</v>
      </c>
      <c r="P78">
        <v>15</v>
      </c>
      <c r="Q78">
        <v>0</v>
      </c>
      <c r="R78">
        <v>7</v>
      </c>
      <c r="S78">
        <v>0</v>
      </c>
      <c r="T78">
        <v>13</v>
      </c>
      <c r="U78">
        <v>23</v>
      </c>
      <c r="V78">
        <v>0</v>
      </c>
      <c r="W78">
        <v>16</v>
      </c>
      <c r="X78">
        <v>0</v>
      </c>
      <c r="Y78">
        <v>9</v>
      </c>
      <c r="Z78">
        <v>5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7</v>
      </c>
    </row>
    <row r="79" spans="1:36" x14ac:dyDescent="0.2">
      <c r="A79" s="3" t="s">
        <v>69</v>
      </c>
      <c r="B79" s="3" t="s">
        <v>99</v>
      </c>
      <c r="C79" s="3" t="s">
        <v>85</v>
      </c>
      <c r="D79">
        <f t="shared" si="10"/>
        <v>86</v>
      </c>
      <c r="E79" t="s">
        <v>1</v>
      </c>
      <c r="F79">
        <f t="shared" si="11"/>
        <v>179</v>
      </c>
      <c r="G79">
        <v>50</v>
      </c>
      <c r="H79">
        <v>6</v>
      </c>
      <c r="I79">
        <v>0</v>
      </c>
      <c r="J79">
        <v>0</v>
      </c>
      <c r="K79">
        <v>10</v>
      </c>
      <c r="L79">
        <v>0</v>
      </c>
      <c r="M79">
        <v>0</v>
      </c>
      <c r="N79">
        <v>15</v>
      </c>
      <c r="O79">
        <v>0</v>
      </c>
      <c r="P79">
        <v>15</v>
      </c>
      <c r="Q79">
        <v>0</v>
      </c>
      <c r="R79">
        <v>7</v>
      </c>
      <c r="S79">
        <v>0</v>
      </c>
      <c r="T79">
        <v>13</v>
      </c>
      <c r="U79">
        <v>23</v>
      </c>
      <c r="V79">
        <v>0</v>
      </c>
      <c r="W79">
        <v>16</v>
      </c>
      <c r="X79">
        <v>0</v>
      </c>
      <c r="Y79">
        <v>9</v>
      </c>
      <c r="Z79">
        <v>5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6</v>
      </c>
    </row>
    <row r="80" spans="1:36" x14ac:dyDescent="0.2">
      <c r="A80" s="3" t="s">
        <v>70</v>
      </c>
      <c r="B80" s="3" t="s">
        <v>99</v>
      </c>
      <c r="C80" s="3" t="s">
        <v>85</v>
      </c>
      <c r="D80">
        <f t="shared" si="10"/>
        <v>85</v>
      </c>
      <c r="E80" t="s">
        <v>1</v>
      </c>
      <c r="F80">
        <f t="shared" si="11"/>
        <v>179</v>
      </c>
      <c r="G80">
        <v>50</v>
      </c>
      <c r="H80">
        <v>6</v>
      </c>
      <c r="I80">
        <v>0</v>
      </c>
      <c r="J80">
        <v>0</v>
      </c>
      <c r="K80">
        <v>10</v>
      </c>
      <c r="L80">
        <v>0</v>
      </c>
      <c r="M80">
        <v>0</v>
      </c>
      <c r="N80">
        <v>15</v>
      </c>
      <c r="O80">
        <v>0</v>
      </c>
      <c r="P80">
        <v>15</v>
      </c>
      <c r="Q80">
        <v>0</v>
      </c>
      <c r="R80">
        <v>7</v>
      </c>
      <c r="S80">
        <v>0</v>
      </c>
      <c r="T80">
        <v>12</v>
      </c>
      <c r="U80">
        <v>23</v>
      </c>
      <c r="V80">
        <v>0</v>
      </c>
      <c r="W80">
        <v>16</v>
      </c>
      <c r="X80">
        <v>0</v>
      </c>
      <c r="Y80">
        <v>9</v>
      </c>
      <c r="Z80">
        <v>5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7</v>
      </c>
    </row>
    <row r="81" spans="1:36" x14ac:dyDescent="0.2">
      <c r="A81" s="3" t="s">
        <v>71</v>
      </c>
      <c r="B81" s="3" t="s">
        <v>99</v>
      </c>
      <c r="C81" s="3" t="s">
        <v>85</v>
      </c>
      <c r="D81">
        <f t="shared" si="10"/>
        <v>85</v>
      </c>
      <c r="E81" t="s">
        <v>1</v>
      </c>
      <c r="F81">
        <f t="shared" si="11"/>
        <v>179</v>
      </c>
      <c r="G81" s="1">
        <v>50</v>
      </c>
      <c r="H81" s="1">
        <v>6</v>
      </c>
      <c r="I81">
        <v>0</v>
      </c>
      <c r="J81">
        <v>0</v>
      </c>
      <c r="K81" s="1">
        <v>10</v>
      </c>
      <c r="L81" s="1">
        <v>0</v>
      </c>
      <c r="M81">
        <v>0</v>
      </c>
      <c r="N81" s="1">
        <v>15</v>
      </c>
      <c r="O81" s="1">
        <v>0</v>
      </c>
      <c r="P81" s="1">
        <v>15</v>
      </c>
      <c r="Q81" s="1">
        <v>0</v>
      </c>
      <c r="R81" s="1">
        <v>7</v>
      </c>
      <c r="S81">
        <v>0</v>
      </c>
      <c r="T81" s="1">
        <v>12</v>
      </c>
      <c r="U81" s="1">
        <v>23</v>
      </c>
      <c r="V81" s="1">
        <v>0</v>
      </c>
      <c r="W81" s="1">
        <v>16</v>
      </c>
      <c r="X81">
        <v>0</v>
      </c>
      <c r="Y81" s="1">
        <v>9</v>
      </c>
      <c r="Z81">
        <v>6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6</v>
      </c>
    </row>
    <row r="82" spans="1:36" x14ac:dyDescent="0.2">
      <c r="A82" s="3" t="s">
        <v>72</v>
      </c>
      <c r="B82" s="3" t="s">
        <v>99</v>
      </c>
      <c r="C82" s="3" t="s">
        <v>85</v>
      </c>
      <c r="D82">
        <f t="shared" si="10"/>
        <v>85</v>
      </c>
      <c r="E82" t="s">
        <v>1</v>
      </c>
      <c r="F82">
        <f t="shared" si="11"/>
        <v>179</v>
      </c>
      <c r="G82" s="1">
        <v>50</v>
      </c>
      <c r="H82" s="1">
        <v>6</v>
      </c>
      <c r="I82">
        <v>0</v>
      </c>
      <c r="J82">
        <v>0</v>
      </c>
      <c r="K82" s="1">
        <v>10</v>
      </c>
      <c r="L82">
        <v>1</v>
      </c>
      <c r="M82">
        <v>0</v>
      </c>
      <c r="N82" s="1">
        <v>15</v>
      </c>
      <c r="O82" s="1">
        <v>0</v>
      </c>
      <c r="P82" s="1">
        <v>15</v>
      </c>
      <c r="Q82" s="1">
        <v>0</v>
      </c>
      <c r="R82" s="1">
        <v>7</v>
      </c>
      <c r="S82">
        <v>0</v>
      </c>
      <c r="T82" s="1">
        <v>12</v>
      </c>
      <c r="U82" s="1">
        <v>23</v>
      </c>
      <c r="V82" s="1">
        <v>0</v>
      </c>
      <c r="W82" s="1">
        <v>16</v>
      </c>
      <c r="X82">
        <v>0</v>
      </c>
      <c r="Y82" s="1">
        <v>9</v>
      </c>
      <c r="Z82">
        <v>6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5</v>
      </c>
    </row>
    <row r="83" spans="1:36" x14ac:dyDescent="0.2">
      <c r="A83" s="3" t="s">
        <v>73</v>
      </c>
      <c r="B83" s="3" t="s">
        <v>99</v>
      </c>
      <c r="C83" s="3" t="s">
        <v>85</v>
      </c>
      <c r="D83">
        <f t="shared" si="10"/>
        <v>72</v>
      </c>
      <c r="E83" t="s">
        <v>0</v>
      </c>
      <c r="F83">
        <f t="shared" si="11"/>
        <v>179</v>
      </c>
      <c r="G83">
        <v>38</v>
      </c>
      <c r="H83">
        <v>10</v>
      </c>
      <c r="I83">
        <v>0</v>
      </c>
      <c r="J83">
        <v>0</v>
      </c>
      <c r="K83">
        <v>13</v>
      </c>
      <c r="L83">
        <v>0</v>
      </c>
      <c r="M83">
        <v>0</v>
      </c>
      <c r="N83">
        <v>20</v>
      </c>
      <c r="O83">
        <v>4</v>
      </c>
      <c r="P83">
        <v>16</v>
      </c>
      <c r="Q83">
        <v>0</v>
      </c>
      <c r="R83">
        <v>14</v>
      </c>
      <c r="S83">
        <v>0</v>
      </c>
      <c r="T83">
        <v>16</v>
      </c>
      <c r="U83">
        <v>18</v>
      </c>
      <c r="V83">
        <v>0</v>
      </c>
      <c r="W83">
        <v>10</v>
      </c>
      <c r="X83">
        <v>0</v>
      </c>
      <c r="Y83">
        <v>11</v>
      </c>
      <c r="Z83">
        <v>5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</row>
    <row r="84" spans="1:36" x14ac:dyDescent="0.2">
      <c r="A84" s="3" t="s">
        <v>74</v>
      </c>
      <c r="B84" s="3" t="s">
        <v>99</v>
      </c>
      <c r="C84" s="3" t="s">
        <v>85</v>
      </c>
      <c r="D84">
        <f t="shared" si="10"/>
        <v>72</v>
      </c>
      <c r="E84" t="s">
        <v>1</v>
      </c>
      <c r="F84">
        <f t="shared" si="11"/>
        <v>179</v>
      </c>
      <c r="G84">
        <v>38</v>
      </c>
      <c r="H84">
        <v>10</v>
      </c>
      <c r="I84">
        <v>0</v>
      </c>
      <c r="J84">
        <v>0</v>
      </c>
      <c r="K84">
        <v>13</v>
      </c>
      <c r="L84">
        <v>0</v>
      </c>
      <c r="M84">
        <v>0</v>
      </c>
      <c r="N84">
        <v>20</v>
      </c>
      <c r="O84">
        <v>3</v>
      </c>
      <c r="P84">
        <v>15</v>
      </c>
      <c r="Q84">
        <v>0</v>
      </c>
      <c r="R84">
        <v>14</v>
      </c>
      <c r="S84">
        <v>0</v>
      </c>
      <c r="T84">
        <v>16</v>
      </c>
      <c r="U84">
        <v>18</v>
      </c>
      <c r="V84">
        <v>0</v>
      </c>
      <c r="W84">
        <v>10</v>
      </c>
      <c r="X84">
        <v>0</v>
      </c>
      <c r="Y84">
        <v>11</v>
      </c>
      <c r="Z84">
        <v>5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2</v>
      </c>
    </row>
    <row r="85" spans="1:36" x14ac:dyDescent="0.2">
      <c r="A85" s="3" t="s">
        <v>75</v>
      </c>
      <c r="B85" s="3" t="s">
        <v>99</v>
      </c>
      <c r="C85" s="3" t="s">
        <v>85</v>
      </c>
      <c r="D85">
        <f t="shared" si="10"/>
        <v>72</v>
      </c>
      <c r="E85" t="s">
        <v>1</v>
      </c>
      <c r="F85">
        <f t="shared" si="11"/>
        <v>179</v>
      </c>
      <c r="G85">
        <v>38</v>
      </c>
      <c r="H85">
        <v>10</v>
      </c>
      <c r="I85">
        <v>0</v>
      </c>
      <c r="J85">
        <v>0</v>
      </c>
      <c r="K85">
        <v>13</v>
      </c>
      <c r="L85">
        <v>0</v>
      </c>
      <c r="M85">
        <v>0</v>
      </c>
      <c r="N85">
        <v>20</v>
      </c>
      <c r="O85">
        <v>2</v>
      </c>
      <c r="P85">
        <v>15</v>
      </c>
      <c r="Q85">
        <v>0</v>
      </c>
      <c r="R85">
        <v>14</v>
      </c>
      <c r="S85">
        <v>0</v>
      </c>
      <c r="T85">
        <v>16</v>
      </c>
      <c r="U85">
        <v>18</v>
      </c>
      <c r="V85">
        <v>0</v>
      </c>
      <c r="W85">
        <v>10</v>
      </c>
      <c r="X85">
        <v>0</v>
      </c>
      <c r="Y85">
        <v>11</v>
      </c>
      <c r="Z85">
        <v>5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1</v>
      </c>
      <c r="AH85">
        <v>0</v>
      </c>
      <c r="AI85">
        <v>0</v>
      </c>
      <c r="AJ85">
        <v>3</v>
      </c>
    </row>
  </sheetData>
  <pageMargins left="0.7" right="0.7" top="0.78740157499999996" bottom="0.78740157499999996" header="0.3" footer="0.3"/>
  <ignoredErrors>
    <ignoredError sqref="D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mandatsfordeling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Twente</dc:creator>
  <cp:lastModifiedBy>Moritz Twente</cp:lastModifiedBy>
  <dcterms:created xsi:type="dcterms:W3CDTF">2026-04-12T15:14:35Z</dcterms:created>
  <dcterms:modified xsi:type="dcterms:W3CDTF">2026-04-13T20:52:12Z</dcterms:modified>
</cp:coreProperties>
</file>